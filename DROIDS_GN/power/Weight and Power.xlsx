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66FAE9ED-5A0E-4A7B-93CA-75133E8FD68F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4" i="1" l="1"/>
  <c r="W54" i="1"/>
  <c r="AD53" i="1"/>
  <c r="W53" i="1"/>
  <c r="AD52" i="1"/>
  <c r="W52" i="1"/>
  <c r="AD51" i="1"/>
  <c r="W51" i="1"/>
  <c r="AD50" i="1"/>
  <c r="W50" i="1"/>
  <c r="AD49" i="1"/>
  <c r="W49" i="1"/>
  <c r="AD48" i="1"/>
  <c r="W48" i="1"/>
  <c r="AD47" i="1"/>
  <c r="W47" i="1"/>
  <c r="AD46" i="1"/>
  <c r="W46" i="1"/>
  <c r="AD45" i="1"/>
  <c r="W45" i="1"/>
  <c r="AD44" i="1"/>
  <c r="W44" i="1"/>
  <c r="AD43" i="1"/>
  <c r="W43" i="1"/>
  <c r="AD42" i="1"/>
  <c r="W42" i="1"/>
  <c r="AD41" i="1"/>
  <c r="W41" i="1"/>
  <c r="AD40" i="1"/>
  <c r="W40" i="1"/>
  <c r="AD39" i="1"/>
  <c r="W39" i="1"/>
  <c r="AD38" i="1"/>
  <c r="W38" i="1"/>
  <c r="AD37" i="1"/>
  <c r="W37" i="1"/>
  <c r="AD36" i="1"/>
  <c r="W36" i="1"/>
  <c r="AD35" i="1"/>
  <c r="W35" i="1"/>
  <c r="AD34" i="1"/>
  <c r="W34" i="1"/>
  <c r="AD33" i="1"/>
  <c r="W33" i="1"/>
  <c r="AD32" i="1"/>
  <c r="W32" i="1"/>
  <c r="AD31" i="1"/>
  <c r="W31" i="1"/>
  <c r="AD30" i="1"/>
  <c r="W30" i="1"/>
  <c r="AD29" i="1"/>
  <c r="W29" i="1"/>
  <c r="AD28" i="1"/>
  <c r="W28" i="1"/>
  <c r="AD27" i="1"/>
  <c r="W27" i="1"/>
  <c r="AD26" i="1"/>
  <c r="W26" i="1"/>
  <c r="AD25" i="1"/>
  <c r="W25" i="1"/>
  <c r="AD24" i="1"/>
  <c r="W24" i="1"/>
  <c r="AD23" i="1"/>
  <c r="W23" i="1"/>
  <c r="AD22" i="1"/>
  <c r="W22" i="1"/>
  <c r="AD21" i="1"/>
  <c r="W21" i="1"/>
  <c r="AD20" i="1"/>
  <c r="W20" i="1"/>
  <c r="AD19" i="1"/>
  <c r="W19" i="1"/>
  <c r="AD18" i="1"/>
  <c r="W18" i="1"/>
  <c r="AD17" i="1"/>
  <c r="W17" i="1"/>
  <c r="AC16" i="1"/>
  <c r="AB16" i="1"/>
  <c r="AA16" i="1"/>
  <c r="AD16" i="1" s="1"/>
  <c r="W16" i="1"/>
  <c r="AC15" i="1"/>
  <c r="AB15" i="1"/>
  <c r="AA15" i="1"/>
  <c r="AD15" i="1" s="1"/>
  <c r="W15" i="1"/>
</calcChain>
</file>

<file path=xl/sharedStrings.xml><?xml version="1.0" encoding="utf-8"?>
<sst xmlns="http://schemas.openxmlformats.org/spreadsheetml/2006/main" count="223" uniqueCount="81">
  <si>
    <t>Endurance(hr)</t>
  </si>
  <si>
    <t>Usable Energy(%)</t>
  </si>
  <si>
    <t>Specific Energy(Wh/kg)</t>
  </si>
  <si>
    <t>Short Burst Specific Power(Wh/kg)</t>
  </si>
  <si>
    <t>Propulsion Estimated Mass(g)</t>
  </si>
  <si>
    <t>Avionics Estimated Mass(g)</t>
  </si>
  <si>
    <t>Power Systems Estimated Mass excluding Battery(g)</t>
  </si>
  <si>
    <t>TOTAL 4-MOTOR HOVER W</t>
  </si>
  <si>
    <t>Nonefficient Motor+Prop Combos</t>
  </si>
  <si>
    <t>Winner Combo</t>
  </si>
  <si>
    <t>EMAX AVIA 7035-3</t>
  </si>
  <si>
    <t>Gemfan Flash 7042 bi-blade family</t>
  </si>
  <si>
    <t>Gemfan Flash 7040x3 family</t>
  </si>
  <si>
    <t>HQProp Durable 7x3.5x3</t>
  </si>
  <si>
    <t>EMAX AVIA 7040-3</t>
  </si>
  <si>
    <t>Gemfan 7035x3 family</t>
  </si>
  <si>
    <t>HQProp Durable 7x4x3</t>
  </si>
  <si>
    <t>Peak(W)</t>
  </si>
  <si>
    <t>Batt needed(Wh)</t>
  </si>
  <si>
    <t>Batt needed(mAh)</t>
  </si>
  <si>
    <t>Batt energy mass(g)(endurance)</t>
  </si>
  <si>
    <t>Batt peak mass(g)(discharge capability)</t>
  </si>
  <si>
    <t>BATTERY g</t>
  </si>
  <si>
    <t>Remaining Mass for Frame+Misc</t>
  </si>
  <si>
    <t>AUW kg</t>
  </si>
  <si>
    <t>Hover gf / motor</t>
  </si>
  <si>
    <t>TWR2 gf / motor</t>
  </si>
  <si>
    <t>EMAX E3/ECO III 2807 1300KV</t>
  </si>
  <si>
    <t>RCINPOWER AOS Supernova 2807 1400KV</t>
  </si>
  <si>
    <t>BrotherHobby Avenger 2806.5 1300KV</t>
  </si>
  <si>
    <t>EMAX E3/ECO III 2807 1500KV</t>
  </si>
  <si>
    <t>EMAX E3/ECO III 2808 1300KV</t>
  </si>
  <si>
    <t>EMAX E3/ECO III 2808 1500KV</t>
  </si>
  <si>
    <t>Flash Hobby Arthur 2807 1300KV</t>
  </si>
  <si>
    <t>BrotherHobby Avenger 2810 1180KV</t>
  </si>
  <si>
    <t>T-Motor/T-Hobby F90 2806.5 1300KV</t>
  </si>
  <si>
    <t>T-Motor/T-Hobby F90 2806.5 1500KV</t>
  </si>
  <si>
    <t>BrotherHobby Avenger 2808 1500KV</t>
  </si>
  <si>
    <t>GEPRC SPEEDX2 2809 1280KV</t>
  </si>
  <si>
    <t>Maximum estimated electrical power demanded by all four motors during a high-thrust maneuver</t>
  </si>
  <si>
    <t>Usable energy required to operate the quadcopter for 15 minutes</t>
  </si>
  <si>
    <t>evaluated at 6S battery so nominal voltage of 22.2</t>
  </si>
  <si>
    <t>Minimum battery mass needed to store that energy</t>
  </si>
  <si>
    <t>Minimum battery mass needed to deliver the required peak power</t>
  </si>
  <si>
    <t>our estimated battery mass at 20% reserve, 15 minutes endurance, 180 Wh/kg specific energy, and 1,300 W/kg short-burst specific power</t>
  </si>
  <si>
    <t>conservative value used as the maximum of all prop+motor+esc combinations</t>
  </si>
  <si>
    <t>these are rough esstimations</t>
  </si>
  <si>
    <t>https://fpv-db.com/motors/brotherhobby-avenger-2806-5/</t>
  </si>
  <si>
    <t>https://rcdrone.top/products/eamx-ecoiii-series-2807-3-6s-1300kv-1500kv-1700kv-brushless-motor-drone-motor-accessories</t>
  </si>
  <si>
    <t>https://fpv-db.com/motors/emax-e3-series-2808/</t>
  </si>
  <si>
    <t>https://fpv-db.com/motors/flash-hobby-arthur-2807/</t>
  </si>
  <si>
    <t>https://fpv-db.com/motors/rcinpower-aos-supernova-2807/</t>
  </si>
  <si>
    <t>https://fpv-db.com/motors/brotherhobby-avenger-2810/</t>
  </si>
  <si>
    <t>https://www.ligpower.com/product/f90-fpv-motor.html</t>
  </si>
  <si>
    <t>https://fpv-db.com/motors/brotherhobby-avenger-2808/</t>
  </si>
  <si>
    <t>https://fpv-db.com/motors/geprc-speedx2-2809/</t>
  </si>
  <si>
    <t>Min TWR</t>
  </si>
  <si>
    <t>Flight min</t>
  </si>
  <si>
    <t>Usable</t>
  </si>
  <si>
    <t>Power margin</t>
  </si>
  <si>
    <t>Pack Wh/kg</t>
  </si>
  <si>
    <t>Burst W/kg</t>
  </si>
  <si>
    <t>EMAX E3 2807 1300KV</t>
  </si>
  <si>
    <t>k</t>
  </si>
  <si>
    <t>Avionics/GNC (W)</t>
  </si>
  <si>
    <t>Avionics g</t>
  </si>
  <si>
    <t>Power Systems g</t>
  </si>
  <si>
    <t>ESC g ea</t>
  </si>
  <si>
    <t>Motors</t>
  </si>
  <si>
    <t>Prop g</t>
  </si>
  <si>
    <t>49.6 grams</t>
  </si>
  <si>
    <t>AUW(kg)</t>
  </si>
  <si>
    <t>Hover gf/rotor</t>
  </si>
  <si>
    <t>1.5× gf/rotor</t>
  </si>
  <si>
    <t>Hover W</t>
  </si>
  <si>
    <t>Peak W</t>
  </si>
  <si>
    <t>Li-ion Battery Estimated Mass(g)</t>
  </si>
  <si>
    <t>Propulsion Mass(g)</t>
  </si>
  <si>
    <t>Avionics Mass(g)</t>
  </si>
  <si>
    <t>Power Systems Mass(g)</t>
  </si>
  <si>
    <t>Remaining Mass for Frame+misc(g)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</si>
</sst>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ptos"/>
    </font>
    <font>
      <sz val="10"/>
      <color theme="1"/>
      <name val="Arial"/>
    </font>
    <font>
      <u/>
      <sz val="9"/>
      <color rgb="FF1770AD"/>
      <name val="Aptos"/>
    </font>
    <font>
      <sz val="10"/>
      <color rgb="FF0000FF"/>
      <name val="Arial"/>
    </font>
    <font>
      <b/>
      <i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3" fontId="1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114300</xdr:colOff>
      <xdr:row>1</xdr:row>
      <xdr:rowOff>352425</xdr:rowOff>
    </xdr:from>
    <xdr:ext cx="2400300" cy="2400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5</xdr:row>
      <xdr:rowOff>-209550</xdr:rowOff>
    </xdr:from>
    <xdr:ext cx="2238375" cy="22383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gpower.com/product/f90-fpv-motor.html" TargetMode="External"/><Relationship Id="rId21" Type="http://schemas.openxmlformats.org/officeDocument/2006/relationships/hyperlink" Target="https://rcdrone.top/products/eamx-ecoiii-series-2807-3-6s-1300kv-1500kv-1700kv-brushless-motor-drone-motor-accessories" TargetMode="External"/><Relationship Id="rId42" Type="http://schemas.openxmlformats.org/officeDocument/2006/relationships/hyperlink" Target="https://fpv-db.com/motors/flash-hobby-arthur-2807/" TargetMode="External"/><Relationship Id="rId47" Type="http://schemas.openxmlformats.org/officeDocument/2006/relationships/hyperlink" Target="https://fpv-db.com/motors/flash-hobby-arthur-2807/" TargetMode="External"/><Relationship Id="rId63" Type="http://schemas.openxmlformats.org/officeDocument/2006/relationships/hyperlink" Target="https://fpv-db.com/motors/rcinpower-aos-supernova-2807/" TargetMode="External"/><Relationship Id="rId68" Type="http://schemas.openxmlformats.org/officeDocument/2006/relationships/hyperlink" Target="https://fpv-db.com/motors/brotherhobby-avenger-2810/" TargetMode="External"/><Relationship Id="rId84" Type="http://schemas.openxmlformats.org/officeDocument/2006/relationships/hyperlink" Target="https://www.ligpower.com/product/f90-fpv-motor.html" TargetMode="External"/><Relationship Id="rId89" Type="http://schemas.openxmlformats.org/officeDocument/2006/relationships/hyperlink" Target="https://www.ligpower.com/product/f90-fpv-motor.html" TargetMode="External"/><Relationship Id="rId112" Type="http://schemas.openxmlformats.org/officeDocument/2006/relationships/hyperlink" Target="https://www.ligpower.com/product/f90-fpv-motor.html" TargetMode="External"/><Relationship Id="rId16" Type="http://schemas.openxmlformats.org/officeDocument/2006/relationships/hyperlink" Target="https://rcdrone.top/products/eamx-ecoiii-series-2807-3-6s-1300kv-1500kv-1700kv-brushless-motor-drone-motor-accessories" TargetMode="External"/><Relationship Id="rId107" Type="http://schemas.openxmlformats.org/officeDocument/2006/relationships/hyperlink" Target="https://www.ligpower.com/product/f90-fpv-motor.html" TargetMode="External"/><Relationship Id="rId11" Type="http://schemas.openxmlformats.org/officeDocument/2006/relationships/hyperlink" Target="https://rcdrone.top/products/eamx-ecoiii-series-2807-3-6s-1300kv-1500kv-1700kv-brushless-motor-drone-motor-accessories" TargetMode="External"/><Relationship Id="rId32" Type="http://schemas.openxmlformats.org/officeDocument/2006/relationships/hyperlink" Target="https://fpv-db.com/motors/emax-e3-series-2808/" TargetMode="External"/><Relationship Id="rId37" Type="http://schemas.openxmlformats.org/officeDocument/2006/relationships/hyperlink" Target="https://fpv-db.com/motors/emax-e3-series-2808/" TargetMode="External"/><Relationship Id="rId53" Type="http://schemas.openxmlformats.org/officeDocument/2006/relationships/hyperlink" Target="https://fpv-db.com/motors/flash-hobby-arthur-2807/" TargetMode="External"/><Relationship Id="rId58" Type="http://schemas.openxmlformats.org/officeDocument/2006/relationships/hyperlink" Target="https://fpv-db.com/motors/flash-hobby-arthur-2807/" TargetMode="External"/><Relationship Id="rId74" Type="http://schemas.openxmlformats.org/officeDocument/2006/relationships/hyperlink" Target="https://www.ligpower.com/product/f90-fpv-motor.html" TargetMode="External"/><Relationship Id="rId79" Type="http://schemas.openxmlformats.org/officeDocument/2006/relationships/hyperlink" Target="https://www.ligpower.com/product/f90-fpv-motor.html" TargetMode="External"/><Relationship Id="rId102" Type="http://schemas.openxmlformats.org/officeDocument/2006/relationships/hyperlink" Target="https://www.ligpower.com/product/f90-fpv-motor.html" TargetMode="External"/><Relationship Id="rId123" Type="http://schemas.openxmlformats.org/officeDocument/2006/relationships/hyperlink" Target="https://fpv-db.com/motors/brotherhobby-avenger-2808/" TargetMode="External"/><Relationship Id="rId128" Type="http://schemas.openxmlformats.org/officeDocument/2006/relationships/hyperlink" Target="https://fpv-db.com/motors/geprc-speedx2-2809/" TargetMode="External"/><Relationship Id="rId5" Type="http://schemas.openxmlformats.org/officeDocument/2006/relationships/hyperlink" Target="https://fpv-db.com/motors/brotherhobby-avenger-2806-5/" TargetMode="External"/><Relationship Id="rId90" Type="http://schemas.openxmlformats.org/officeDocument/2006/relationships/hyperlink" Target="https://www.ligpower.com/product/f90-fpv-motor.html" TargetMode="External"/><Relationship Id="rId95" Type="http://schemas.openxmlformats.org/officeDocument/2006/relationships/hyperlink" Target="https://www.ligpower.com/product/f90-fpv-motor.html" TargetMode="External"/><Relationship Id="rId22" Type="http://schemas.openxmlformats.org/officeDocument/2006/relationships/hyperlink" Target="https://rcdrone.top/products/eamx-ecoiii-series-2807-3-6s-1300kv-1500kv-1700kv-brushless-motor-drone-motor-accessories" TargetMode="External"/><Relationship Id="rId27" Type="http://schemas.openxmlformats.org/officeDocument/2006/relationships/hyperlink" Target="https://fpv-db.com/motors/emax-e3-series-2808/" TargetMode="External"/><Relationship Id="rId43" Type="http://schemas.openxmlformats.org/officeDocument/2006/relationships/hyperlink" Target="https://fpv-db.com/motors/flash-hobby-arthur-2807/" TargetMode="External"/><Relationship Id="rId48" Type="http://schemas.openxmlformats.org/officeDocument/2006/relationships/hyperlink" Target="https://fpv-db.com/motors/flash-hobby-arthur-2807/" TargetMode="External"/><Relationship Id="rId64" Type="http://schemas.openxmlformats.org/officeDocument/2006/relationships/hyperlink" Target="https://fpv-db.com/motors/rcinpower-aos-supernova-2807/" TargetMode="External"/><Relationship Id="rId69" Type="http://schemas.openxmlformats.org/officeDocument/2006/relationships/hyperlink" Target="https://fpv-db.com/motors/brotherhobby-avenger-2810/" TargetMode="External"/><Relationship Id="rId113" Type="http://schemas.openxmlformats.org/officeDocument/2006/relationships/hyperlink" Target="https://www.ligpower.com/product/f90-fpv-motor.html" TargetMode="External"/><Relationship Id="rId118" Type="http://schemas.openxmlformats.org/officeDocument/2006/relationships/hyperlink" Target="https://fpv-db.com/motors/brotherhobby-avenger-2808/" TargetMode="External"/><Relationship Id="rId80" Type="http://schemas.openxmlformats.org/officeDocument/2006/relationships/hyperlink" Target="https://www.ligpower.com/product/f90-fpv-motor.html" TargetMode="External"/><Relationship Id="rId85" Type="http://schemas.openxmlformats.org/officeDocument/2006/relationships/hyperlink" Target="https://www.ligpower.com/product/f90-fpv-motor.html" TargetMode="External"/><Relationship Id="rId12" Type="http://schemas.openxmlformats.org/officeDocument/2006/relationships/hyperlink" Target="https://rcdrone.top/products/eamx-ecoiii-series-2807-3-6s-1300kv-1500kv-1700kv-brushless-motor-drone-motor-accessories" TargetMode="External"/><Relationship Id="rId17" Type="http://schemas.openxmlformats.org/officeDocument/2006/relationships/hyperlink" Target="https://rcdrone.top/products/eamx-ecoiii-series-2807-3-6s-1300kv-1500kv-1700kv-brushless-motor-drone-motor-accessories" TargetMode="External"/><Relationship Id="rId33" Type="http://schemas.openxmlformats.org/officeDocument/2006/relationships/hyperlink" Target="https://fpv-db.com/motors/emax-e3-series-2808/" TargetMode="External"/><Relationship Id="rId38" Type="http://schemas.openxmlformats.org/officeDocument/2006/relationships/hyperlink" Target="https://fpv-db.com/motors/emax-e3-series-2808/" TargetMode="External"/><Relationship Id="rId59" Type="http://schemas.openxmlformats.org/officeDocument/2006/relationships/hyperlink" Target="https://fpv-db.com/motors/flash-hobby-arthur-2807/" TargetMode="External"/><Relationship Id="rId103" Type="http://schemas.openxmlformats.org/officeDocument/2006/relationships/hyperlink" Target="https://www.ligpower.com/product/f90-fpv-motor.html" TargetMode="External"/><Relationship Id="rId108" Type="http://schemas.openxmlformats.org/officeDocument/2006/relationships/hyperlink" Target="https://www.ligpower.com/product/f90-fpv-motor.html" TargetMode="External"/><Relationship Id="rId124" Type="http://schemas.openxmlformats.org/officeDocument/2006/relationships/hyperlink" Target="https://fpv-db.com/motors/brotherhobby-avenger-2808/" TargetMode="External"/><Relationship Id="rId129" Type="http://schemas.openxmlformats.org/officeDocument/2006/relationships/hyperlink" Target="https://fpv-db.com/motors/geprc-speedx2-2809/" TargetMode="External"/><Relationship Id="rId54" Type="http://schemas.openxmlformats.org/officeDocument/2006/relationships/hyperlink" Target="https://fpv-db.com/motors/flash-hobby-arthur-2807/" TargetMode="External"/><Relationship Id="rId70" Type="http://schemas.openxmlformats.org/officeDocument/2006/relationships/hyperlink" Target="https://fpv-db.com/motors/brotherhobby-avenger-2810/" TargetMode="External"/><Relationship Id="rId75" Type="http://schemas.openxmlformats.org/officeDocument/2006/relationships/hyperlink" Target="https://www.ligpower.com/product/f90-fpv-motor.html" TargetMode="External"/><Relationship Id="rId91" Type="http://schemas.openxmlformats.org/officeDocument/2006/relationships/hyperlink" Target="https://www.ligpower.com/product/f90-fpv-motor.html" TargetMode="External"/><Relationship Id="rId96" Type="http://schemas.openxmlformats.org/officeDocument/2006/relationships/hyperlink" Target="https://www.ligpower.com/product/f90-fpv-motor.html" TargetMode="External"/><Relationship Id="rId1" Type="http://schemas.openxmlformats.org/officeDocument/2006/relationships/hyperlink" Target="https://fpv-db.com/motors/brotherhobby-avenger-2806-5/" TargetMode="External"/><Relationship Id="rId6" Type="http://schemas.openxmlformats.org/officeDocument/2006/relationships/hyperlink" Target="https://fpv-db.com/motors/brotherhobby-avenger-2806-5/" TargetMode="External"/><Relationship Id="rId23" Type="http://schemas.openxmlformats.org/officeDocument/2006/relationships/hyperlink" Target="https://rcdrone.top/products/eamx-ecoiii-series-2807-3-6s-1300kv-1500kv-1700kv-brushless-motor-drone-motor-accessories" TargetMode="External"/><Relationship Id="rId28" Type="http://schemas.openxmlformats.org/officeDocument/2006/relationships/hyperlink" Target="https://fpv-db.com/motors/emax-e3-series-2808/" TargetMode="External"/><Relationship Id="rId49" Type="http://schemas.openxmlformats.org/officeDocument/2006/relationships/hyperlink" Target="https://fpv-db.com/motors/flash-hobby-arthur-2807/" TargetMode="External"/><Relationship Id="rId114" Type="http://schemas.openxmlformats.org/officeDocument/2006/relationships/hyperlink" Target="https://www.ligpower.com/product/f90-fpv-motor.html" TargetMode="External"/><Relationship Id="rId119" Type="http://schemas.openxmlformats.org/officeDocument/2006/relationships/hyperlink" Target="https://fpv-db.com/motors/brotherhobby-avenger-2808/" TargetMode="External"/><Relationship Id="rId44" Type="http://schemas.openxmlformats.org/officeDocument/2006/relationships/hyperlink" Target="https://fpv-db.com/motors/flash-hobby-arthur-2807/" TargetMode="External"/><Relationship Id="rId60" Type="http://schemas.openxmlformats.org/officeDocument/2006/relationships/hyperlink" Target="https://fpv-db.com/motors/flash-hobby-arthur-2807/" TargetMode="External"/><Relationship Id="rId65" Type="http://schemas.openxmlformats.org/officeDocument/2006/relationships/hyperlink" Target="https://fpv-db.com/motors/rcinpower-aos-supernova-2807/" TargetMode="External"/><Relationship Id="rId81" Type="http://schemas.openxmlformats.org/officeDocument/2006/relationships/hyperlink" Target="https://www.ligpower.com/product/f90-fpv-motor.html" TargetMode="External"/><Relationship Id="rId86" Type="http://schemas.openxmlformats.org/officeDocument/2006/relationships/hyperlink" Target="https://www.ligpower.com/product/f90-fpv-motor.html" TargetMode="External"/><Relationship Id="rId130" Type="http://schemas.openxmlformats.org/officeDocument/2006/relationships/hyperlink" Target="https://fpv-db.com/motors/geprc-speedx2-2809/" TargetMode="External"/><Relationship Id="rId13" Type="http://schemas.openxmlformats.org/officeDocument/2006/relationships/hyperlink" Target="https://rcdrone.top/products/eamx-ecoiii-series-2807-3-6s-1300kv-1500kv-1700kv-brushless-motor-drone-motor-accessories" TargetMode="External"/><Relationship Id="rId18" Type="http://schemas.openxmlformats.org/officeDocument/2006/relationships/hyperlink" Target="https://rcdrone.top/products/eamx-ecoiii-series-2807-3-6s-1300kv-1500kv-1700kv-brushless-motor-drone-motor-accessories" TargetMode="External"/><Relationship Id="rId39" Type="http://schemas.openxmlformats.org/officeDocument/2006/relationships/hyperlink" Target="https://fpv-db.com/motors/emax-e3-series-2808/" TargetMode="External"/><Relationship Id="rId109" Type="http://schemas.openxmlformats.org/officeDocument/2006/relationships/hyperlink" Target="https://www.ligpower.com/product/f90-fpv-motor.html" TargetMode="External"/><Relationship Id="rId34" Type="http://schemas.openxmlformats.org/officeDocument/2006/relationships/hyperlink" Target="https://fpv-db.com/motors/emax-e3-series-2808/" TargetMode="External"/><Relationship Id="rId50" Type="http://schemas.openxmlformats.org/officeDocument/2006/relationships/hyperlink" Target="https://fpv-db.com/motors/flash-hobby-arthur-2807/" TargetMode="External"/><Relationship Id="rId55" Type="http://schemas.openxmlformats.org/officeDocument/2006/relationships/hyperlink" Target="https://fpv-db.com/motors/flash-hobby-arthur-2807/" TargetMode="External"/><Relationship Id="rId76" Type="http://schemas.openxmlformats.org/officeDocument/2006/relationships/hyperlink" Target="https://www.ligpower.com/product/f90-fpv-motor.html" TargetMode="External"/><Relationship Id="rId97" Type="http://schemas.openxmlformats.org/officeDocument/2006/relationships/hyperlink" Target="https://www.ligpower.com/product/f90-fpv-motor.html" TargetMode="External"/><Relationship Id="rId104" Type="http://schemas.openxmlformats.org/officeDocument/2006/relationships/hyperlink" Target="https://www.ligpower.com/product/f90-fpv-motor.html" TargetMode="External"/><Relationship Id="rId120" Type="http://schemas.openxmlformats.org/officeDocument/2006/relationships/hyperlink" Target="https://fpv-db.com/motors/brotherhobby-avenger-2808/" TargetMode="External"/><Relationship Id="rId125" Type="http://schemas.openxmlformats.org/officeDocument/2006/relationships/hyperlink" Target="https://fpv-db.com/motors/brotherhobby-avenger-2808/" TargetMode="External"/><Relationship Id="rId7" Type="http://schemas.openxmlformats.org/officeDocument/2006/relationships/hyperlink" Target="https://fpv-db.com/motors/brotherhobby-avenger-2806-5/" TargetMode="External"/><Relationship Id="rId71" Type="http://schemas.openxmlformats.org/officeDocument/2006/relationships/hyperlink" Target="https://fpv-db.com/motors/brotherhobby-avenger-2810/" TargetMode="External"/><Relationship Id="rId92" Type="http://schemas.openxmlformats.org/officeDocument/2006/relationships/hyperlink" Target="https://www.ligpower.com/product/f90-fpv-motor.html" TargetMode="External"/><Relationship Id="rId2" Type="http://schemas.openxmlformats.org/officeDocument/2006/relationships/hyperlink" Target="https://fpv-db.com/motors/brotherhobby-avenger-2806-5/" TargetMode="External"/><Relationship Id="rId29" Type="http://schemas.openxmlformats.org/officeDocument/2006/relationships/hyperlink" Target="https://fpv-db.com/motors/emax-e3-series-2808/" TargetMode="External"/><Relationship Id="rId24" Type="http://schemas.openxmlformats.org/officeDocument/2006/relationships/hyperlink" Target="https://rcdrone.top/products/eamx-ecoiii-series-2807-3-6s-1300kv-1500kv-1700kv-brushless-motor-drone-motor-accessories" TargetMode="External"/><Relationship Id="rId40" Type="http://schemas.openxmlformats.org/officeDocument/2006/relationships/hyperlink" Target="https://fpv-db.com/motors/emax-e3-series-2808/" TargetMode="External"/><Relationship Id="rId45" Type="http://schemas.openxmlformats.org/officeDocument/2006/relationships/hyperlink" Target="https://fpv-db.com/motors/flash-hobby-arthur-2807/" TargetMode="External"/><Relationship Id="rId66" Type="http://schemas.openxmlformats.org/officeDocument/2006/relationships/hyperlink" Target="https://fpv-db.com/motors/brotherhobby-avenger-2810/" TargetMode="External"/><Relationship Id="rId87" Type="http://schemas.openxmlformats.org/officeDocument/2006/relationships/hyperlink" Target="https://www.ligpower.com/product/f90-fpv-motor.html" TargetMode="External"/><Relationship Id="rId110" Type="http://schemas.openxmlformats.org/officeDocument/2006/relationships/hyperlink" Target="https://www.ligpower.com/product/f90-fpv-motor.html" TargetMode="External"/><Relationship Id="rId115" Type="http://schemas.openxmlformats.org/officeDocument/2006/relationships/hyperlink" Target="https://www.ligpower.com/product/f90-fpv-motor.html" TargetMode="External"/><Relationship Id="rId131" Type="http://schemas.openxmlformats.org/officeDocument/2006/relationships/hyperlink" Target="https://fpv-db.com/motors/geprc-speedx2-2809/" TargetMode="External"/><Relationship Id="rId61" Type="http://schemas.openxmlformats.org/officeDocument/2006/relationships/hyperlink" Target="https://fpv-db.com/motors/flash-hobby-arthur-2807/" TargetMode="External"/><Relationship Id="rId82" Type="http://schemas.openxmlformats.org/officeDocument/2006/relationships/hyperlink" Target="https://www.ligpower.com/product/f90-fpv-motor.html" TargetMode="External"/><Relationship Id="rId19" Type="http://schemas.openxmlformats.org/officeDocument/2006/relationships/hyperlink" Target="https://rcdrone.top/products/eamx-ecoiii-series-2807-3-6s-1300kv-1500kv-1700kv-brushless-motor-drone-motor-accessories" TargetMode="External"/><Relationship Id="rId14" Type="http://schemas.openxmlformats.org/officeDocument/2006/relationships/hyperlink" Target="https://rcdrone.top/products/eamx-ecoiii-series-2807-3-6s-1300kv-1500kv-1700kv-brushless-motor-drone-motor-accessories" TargetMode="External"/><Relationship Id="rId30" Type="http://schemas.openxmlformats.org/officeDocument/2006/relationships/hyperlink" Target="https://fpv-db.com/motors/emax-e3-series-2808/" TargetMode="External"/><Relationship Id="rId35" Type="http://schemas.openxmlformats.org/officeDocument/2006/relationships/hyperlink" Target="https://fpv-db.com/motors/emax-e3-series-2808/" TargetMode="External"/><Relationship Id="rId56" Type="http://schemas.openxmlformats.org/officeDocument/2006/relationships/hyperlink" Target="https://fpv-db.com/motors/flash-hobby-arthur-2807/" TargetMode="External"/><Relationship Id="rId77" Type="http://schemas.openxmlformats.org/officeDocument/2006/relationships/hyperlink" Target="https://www.ligpower.com/product/f90-fpv-motor.html" TargetMode="External"/><Relationship Id="rId100" Type="http://schemas.openxmlformats.org/officeDocument/2006/relationships/hyperlink" Target="https://www.ligpower.com/product/f90-fpv-motor.html" TargetMode="External"/><Relationship Id="rId105" Type="http://schemas.openxmlformats.org/officeDocument/2006/relationships/hyperlink" Target="https://www.ligpower.com/product/f90-fpv-motor.html" TargetMode="External"/><Relationship Id="rId126" Type="http://schemas.openxmlformats.org/officeDocument/2006/relationships/hyperlink" Target="https://fpv-db.com/motors/geprc-speedx2-2809/" TargetMode="External"/><Relationship Id="rId8" Type="http://schemas.openxmlformats.org/officeDocument/2006/relationships/hyperlink" Target="https://fpv-db.com/motors/brotherhobby-avenger-2806-5/" TargetMode="External"/><Relationship Id="rId51" Type="http://schemas.openxmlformats.org/officeDocument/2006/relationships/hyperlink" Target="https://fpv-db.com/motors/flash-hobby-arthur-2807/" TargetMode="External"/><Relationship Id="rId72" Type="http://schemas.openxmlformats.org/officeDocument/2006/relationships/hyperlink" Target="https://fpv-db.com/motors/brotherhobby-avenger-2810/" TargetMode="External"/><Relationship Id="rId93" Type="http://schemas.openxmlformats.org/officeDocument/2006/relationships/hyperlink" Target="https://www.ligpower.com/product/f90-fpv-motor.html" TargetMode="External"/><Relationship Id="rId98" Type="http://schemas.openxmlformats.org/officeDocument/2006/relationships/hyperlink" Target="https://www.ligpower.com/product/f90-fpv-motor.html" TargetMode="External"/><Relationship Id="rId121" Type="http://schemas.openxmlformats.org/officeDocument/2006/relationships/hyperlink" Target="https://fpv-db.com/motors/brotherhobby-avenger-2808/" TargetMode="External"/><Relationship Id="rId3" Type="http://schemas.openxmlformats.org/officeDocument/2006/relationships/hyperlink" Target="https://fpv-db.com/motors/brotherhobby-avenger-2806-5/" TargetMode="External"/><Relationship Id="rId25" Type="http://schemas.openxmlformats.org/officeDocument/2006/relationships/hyperlink" Target="https://fpv-db.com/motors/emax-e3-series-2808/" TargetMode="External"/><Relationship Id="rId46" Type="http://schemas.openxmlformats.org/officeDocument/2006/relationships/hyperlink" Target="https://fpv-db.com/motors/flash-hobby-arthur-2807/" TargetMode="External"/><Relationship Id="rId67" Type="http://schemas.openxmlformats.org/officeDocument/2006/relationships/hyperlink" Target="https://fpv-db.com/motors/brotherhobby-avenger-2810/" TargetMode="External"/><Relationship Id="rId116" Type="http://schemas.openxmlformats.org/officeDocument/2006/relationships/hyperlink" Target="https://www.ligpower.com/product/f90-fpv-motor.html" TargetMode="External"/><Relationship Id="rId20" Type="http://schemas.openxmlformats.org/officeDocument/2006/relationships/hyperlink" Target="https://rcdrone.top/products/eamx-ecoiii-series-2807-3-6s-1300kv-1500kv-1700kv-brushless-motor-drone-motor-accessories" TargetMode="External"/><Relationship Id="rId41" Type="http://schemas.openxmlformats.org/officeDocument/2006/relationships/hyperlink" Target="https://fpv-db.com/motors/flash-hobby-arthur-2807/" TargetMode="External"/><Relationship Id="rId62" Type="http://schemas.openxmlformats.org/officeDocument/2006/relationships/hyperlink" Target="https://fpv-db.com/motors/rcinpower-aos-supernova-2807/" TargetMode="External"/><Relationship Id="rId83" Type="http://schemas.openxmlformats.org/officeDocument/2006/relationships/hyperlink" Target="https://www.ligpower.com/product/f90-fpv-motor.html" TargetMode="External"/><Relationship Id="rId88" Type="http://schemas.openxmlformats.org/officeDocument/2006/relationships/hyperlink" Target="https://www.ligpower.com/product/f90-fpv-motor.html" TargetMode="External"/><Relationship Id="rId111" Type="http://schemas.openxmlformats.org/officeDocument/2006/relationships/hyperlink" Target="https://www.ligpower.com/product/f90-fpv-motor.html" TargetMode="External"/><Relationship Id="rId15" Type="http://schemas.openxmlformats.org/officeDocument/2006/relationships/hyperlink" Target="https://rcdrone.top/products/eamx-ecoiii-series-2807-3-6s-1300kv-1500kv-1700kv-brushless-motor-drone-motor-accessories" TargetMode="External"/><Relationship Id="rId36" Type="http://schemas.openxmlformats.org/officeDocument/2006/relationships/hyperlink" Target="https://fpv-db.com/motors/emax-e3-series-2808/" TargetMode="External"/><Relationship Id="rId57" Type="http://schemas.openxmlformats.org/officeDocument/2006/relationships/hyperlink" Target="https://fpv-db.com/motors/flash-hobby-arthur-2807/" TargetMode="External"/><Relationship Id="rId106" Type="http://schemas.openxmlformats.org/officeDocument/2006/relationships/hyperlink" Target="https://www.ligpower.com/product/f90-fpv-motor.html" TargetMode="External"/><Relationship Id="rId127" Type="http://schemas.openxmlformats.org/officeDocument/2006/relationships/hyperlink" Target="https://fpv-db.com/motors/geprc-speedx2-2809/" TargetMode="External"/><Relationship Id="rId10" Type="http://schemas.openxmlformats.org/officeDocument/2006/relationships/hyperlink" Target="https://rcdrone.top/products/eamx-ecoiii-series-2807-3-6s-1300kv-1500kv-1700kv-brushless-motor-drone-motor-accessories" TargetMode="External"/><Relationship Id="rId31" Type="http://schemas.openxmlformats.org/officeDocument/2006/relationships/hyperlink" Target="https://fpv-db.com/motors/emax-e3-series-2808/" TargetMode="External"/><Relationship Id="rId52" Type="http://schemas.openxmlformats.org/officeDocument/2006/relationships/hyperlink" Target="https://fpv-db.com/motors/flash-hobby-arthur-2807/" TargetMode="External"/><Relationship Id="rId73" Type="http://schemas.openxmlformats.org/officeDocument/2006/relationships/hyperlink" Target="https://fpv-db.com/motors/brotherhobby-avenger-2810/" TargetMode="External"/><Relationship Id="rId78" Type="http://schemas.openxmlformats.org/officeDocument/2006/relationships/hyperlink" Target="https://www.ligpower.com/product/f90-fpv-motor.html" TargetMode="External"/><Relationship Id="rId94" Type="http://schemas.openxmlformats.org/officeDocument/2006/relationships/hyperlink" Target="https://www.ligpower.com/product/f90-fpv-motor.html" TargetMode="External"/><Relationship Id="rId99" Type="http://schemas.openxmlformats.org/officeDocument/2006/relationships/hyperlink" Target="https://www.ligpower.com/product/f90-fpv-motor.html" TargetMode="External"/><Relationship Id="rId101" Type="http://schemas.openxmlformats.org/officeDocument/2006/relationships/hyperlink" Target="https://www.ligpower.com/product/f90-fpv-motor.html" TargetMode="External"/><Relationship Id="rId122" Type="http://schemas.openxmlformats.org/officeDocument/2006/relationships/hyperlink" Target="https://fpv-db.com/motors/brotherhobby-avenger-2808/" TargetMode="External"/><Relationship Id="rId4" Type="http://schemas.openxmlformats.org/officeDocument/2006/relationships/hyperlink" Target="https://fpv-db.com/motors/brotherhobby-avenger-2806-5/" TargetMode="External"/><Relationship Id="rId9" Type="http://schemas.openxmlformats.org/officeDocument/2006/relationships/hyperlink" Target="https://rcdrone.top/products/eamx-ecoiii-series-2807-3-6s-1300kv-1500kv-1700kv-brushless-motor-drone-motor-accessories" TargetMode="External"/><Relationship Id="rId26" Type="http://schemas.openxmlformats.org/officeDocument/2006/relationships/hyperlink" Target="https://fpv-db.com/motors/emax-e3-series-2808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cdrone.top/products/eamx-ecoiii-series-2807-3-6s-1300kv-1500kv-1700kv-brushless-motor-drone-motor-access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5"/>
  <sheetViews>
    <sheetView workbookViewId="0"/>
  </sheetViews>
  <sheetFormatPr defaultColWidth="12.5703125" defaultRowHeight="15.75" customHeight="1"/>
  <sheetData>
    <row r="1" spans="1:30">
      <c r="A1" s="1" t="s">
        <v>0</v>
      </c>
      <c r="B1" s="1">
        <v>0.25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1</v>
      </c>
      <c r="B2" s="1">
        <v>0.8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 t="s">
        <v>2</v>
      </c>
      <c r="B3" s="1">
        <v>180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>
        <v>1300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4" t="s">
        <v>4</v>
      </c>
      <c r="B5" s="4">
        <v>320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4" t="s">
        <v>5</v>
      </c>
      <c r="B6" s="1">
        <v>389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4" t="s">
        <v>6</v>
      </c>
      <c r="B7" s="1">
        <v>130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4"/>
      <c r="B12" s="4"/>
      <c r="C12" s="4"/>
      <c r="D12" s="14" t="s">
        <v>7</v>
      </c>
      <c r="E12" s="15"/>
      <c r="F12" s="15"/>
      <c r="G12" s="14" t="s"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4" t="s">
        <v>9</v>
      </c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48.75" customHeight="1">
      <c r="A13" s="4"/>
      <c r="B13" s="4"/>
      <c r="C13" s="4"/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  <c r="I13" s="4" t="s">
        <v>10</v>
      </c>
      <c r="J13" s="4" t="s">
        <v>14</v>
      </c>
      <c r="K13" s="4" t="s">
        <v>15</v>
      </c>
      <c r="L13" s="4" t="s">
        <v>12</v>
      </c>
      <c r="M13" s="4" t="s">
        <v>11</v>
      </c>
      <c r="N13" s="4" t="s">
        <v>16</v>
      </c>
      <c r="O13" s="4" t="s">
        <v>16</v>
      </c>
      <c r="P13" s="4" t="s">
        <v>11</v>
      </c>
      <c r="Q13" s="4" t="s">
        <v>16</v>
      </c>
      <c r="R13" s="4" t="s">
        <v>11</v>
      </c>
      <c r="S13" s="4" t="s">
        <v>13</v>
      </c>
      <c r="T13" s="4" t="s">
        <v>12</v>
      </c>
      <c r="U13" s="4" t="s">
        <v>17</v>
      </c>
      <c r="V13" s="4" t="s">
        <v>18</v>
      </c>
      <c r="W13" s="6" t="s">
        <v>19</v>
      </c>
      <c r="X13" s="4" t="s">
        <v>20</v>
      </c>
      <c r="Y13" s="4" t="s">
        <v>21</v>
      </c>
      <c r="Z13" s="6" t="s">
        <v>22</v>
      </c>
      <c r="AA13" s="4" t="s">
        <v>4</v>
      </c>
      <c r="AB13" s="4" t="s">
        <v>5</v>
      </c>
      <c r="AC13" s="4" t="s">
        <v>6</v>
      </c>
      <c r="AD13" s="6" t="s">
        <v>23</v>
      </c>
    </row>
    <row r="14" spans="1:30" ht="54" customHeight="1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28</v>
      </c>
      <c r="G14" s="4" t="s">
        <v>29</v>
      </c>
      <c r="H14" s="4" t="s">
        <v>30</v>
      </c>
      <c r="I14" s="4" t="s">
        <v>31</v>
      </c>
      <c r="J14" s="4" t="s">
        <v>32</v>
      </c>
      <c r="K14" s="4" t="s">
        <v>33</v>
      </c>
      <c r="L14" s="4" t="s">
        <v>33</v>
      </c>
      <c r="M14" s="4" t="s">
        <v>33</v>
      </c>
      <c r="N14" s="4" t="s">
        <v>34</v>
      </c>
      <c r="O14" s="4" t="s">
        <v>35</v>
      </c>
      <c r="P14" s="4" t="s">
        <v>35</v>
      </c>
      <c r="Q14" s="4" t="s">
        <v>36</v>
      </c>
      <c r="R14" s="4" t="s">
        <v>36</v>
      </c>
      <c r="S14" s="4" t="s">
        <v>37</v>
      </c>
      <c r="T14" s="4" t="s">
        <v>38</v>
      </c>
      <c r="U14" s="4" t="s">
        <v>39</v>
      </c>
      <c r="V14" s="4" t="s">
        <v>40</v>
      </c>
      <c r="W14" s="6" t="s">
        <v>41</v>
      </c>
      <c r="X14" s="4" t="s">
        <v>42</v>
      </c>
      <c r="Y14" s="4" t="s">
        <v>43</v>
      </c>
      <c r="Z14" s="6" t="s">
        <v>44</v>
      </c>
      <c r="AA14" s="4" t="s">
        <v>45</v>
      </c>
      <c r="AB14" s="4" t="s">
        <v>46</v>
      </c>
      <c r="AC14" s="4" t="s">
        <v>46</v>
      </c>
      <c r="AD14" s="6"/>
    </row>
    <row r="15" spans="1:30">
      <c r="A15" s="4">
        <v>1.5</v>
      </c>
      <c r="B15" s="4">
        <v>375</v>
      </c>
      <c r="C15" s="4">
        <v>750</v>
      </c>
      <c r="D15" s="6">
        <v>278</v>
      </c>
      <c r="E15" s="4"/>
      <c r="F15" s="4"/>
      <c r="G15" s="4">
        <v>286</v>
      </c>
      <c r="H15" s="4">
        <v>304</v>
      </c>
      <c r="I15" s="4">
        <v>287</v>
      </c>
      <c r="J15" s="4">
        <v>325</v>
      </c>
      <c r="K15" s="4"/>
      <c r="L15" s="4"/>
      <c r="M15" s="4"/>
      <c r="N15" s="4">
        <v>343</v>
      </c>
      <c r="O15" s="4">
        <v>227</v>
      </c>
      <c r="P15" s="4">
        <v>212</v>
      </c>
      <c r="Q15" s="4"/>
      <c r="R15" s="4"/>
      <c r="S15" s="4"/>
      <c r="T15" s="4"/>
      <c r="U15" s="4">
        <v>673</v>
      </c>
      <c r="V15" s="4">
        <v>107</v>
      </c>
      <c r="W15" s="6">
        <f t="shared" ref="W15:W54" si="0">(V15/22.2)*1000</f>
        <v>4819.8198198198197</v>
      </c>
      <c r="X15" s="4">
        <v>594</v>
      </c>
      <c r="Y15" s="4">
        <v>533</v>
      </c>
      <c r="Z15" s="6">
        <v>594</v>
      </c>
      <c r="AA15" s="4">
        <f>B5</f>
        <v>320</v>
      </c>
      <c r="AB15" s="4">
        <f>B6</f>
        <v>389</v>
      </c>
      <c r="AC15" s="4">
        <f>B7</f>
        <v>130</v>
      </c>
      <c r="AD15" s="6">
        <f t="shared" ref="AD15:AD54" si="1">(A15*1000)-Z15-AA15-AB15-AC15</f>
        <v>67</v>
      </c>
    </row>
    <row r="16" spans="1:30">
      <c r="A16" s="4">
        <v>1.6</v>
      </c>
      <c r="B16" s="4">
        <v>400</v>
      </c>
      <c r="C16" s="4">
        <v>800</v>
      </c>
      <c r="D16" s="6">
        <v>301</v>
      </c>
      <c r="E16" s="4"/>
      <c r="F16" s="4"/>
      <c r="G16" s="4">
        <v>311</v>
      </c>
      <c r="H16" s="4">
        <v>330</v>
      </c>
      <c r="I16" s="4">
        <v>310</v>
      </c>
      <c r="J16" s="4">
        <v>355</v>
      </c>
      <c r="K16" s="4"/>
      <c r="L16" s="4"/>
      <c r="M16" s="4"/>
      <c r="N16" s="4">
        <v>371</v>
      </c>
      <c r="O16" s="4">
        <v>250</v>
      </c>
      <c r="P16" s="4">
        <v>230</v>
      </c>
      <c r="Q16" s="4"/>
      <c r="R16" s="4"/>
      <c r="S16" s="4"/>
      <c r="T16" s="4"/>
      <c r="U16" s="4">
        <v>727</v>
      </c>
      <c r="V16" s="4">
        <v>115</v>
      </c>
      <c r="W16" s="6">
        <f t="shared" si="0"/>
        <v>5180.1801801801803</v>
      </c>
      <c r="X16" s="4">
        <v>641</v>
      </c>
      <c r="Y16" s="4">
        <v>575</v>
      </c>
      <c r="Z16" s="6">
        <v>641</v>
      </c>
      <c r="AA16" s="4">
        <f>B5</f>
        <v>320</v>
      </c>
      <c r="AB16" s="4">
        <f>B6</f>
        <v>389</v>
      </c>
      <c r="AC16" s="4">
        <f>B7</f>
        <v>130</v>
      </c>
      <c r="AD16" s="6">
        <f t="shared" si="1"/>
        <v>120</v>
      </c>
    </row>
    <row r="17" spans="1:30">
      <c r="A17" s="4">
        <v>1.7</v>
      </c>
      <c r="B17" s="4">
        <v>425</v>
      </c>
      <c r="C17" s="4">
        <v>850</v>
      </c>
      <c r="D17" s="6">
        <v>324</v>
      </c>
      <c r="E17" s="4"/>
      <c r="F17" s="4"/>
      <c r="G17" s="4">
        <v>336</v>
      </c>
      <c r="H17" s="4">
        <v>355</v>
      </c>
      <c r="I17" s="4">
        <v>333</v>
      </c>
      <c r="J17" s="4">
        <v>384</v>
      </c>
      <c r="K17" s="4"/>
      <c r="L17" s="4"/>
      <c r="M17" s="4"/>
      <c r="N17" s="4">
        <v>400</v>
      </c>
      <c r="O17" s="4">
        <v>272</v>
      </c>
      <c r="P17" s="4">
        <v>248</v>
      </c>
      <c r="Q17" s="4"/>
      <c r="R17" s="4"/>
      <c r="S17" s="4">
        <v>328</v>
      </c>
      <c r="T17" s="4"/>
      <c r="U17" s="4">
        <v>782</v>
      </c>
      <c r="V17" s="4">
        <v>124</v>
      </c>
      <c r="W17" s="6">
        <f t="shared" si="0"/>
        <v>5585.5855855855852</v>
      </c>
      <c r="X17" s="4">
        <v>687</v>
      </c>
      <c r="Y17" s="4">
        <v>617</v>
      </c>
      <c r="Z17" s="6">
        <v>687</v>
      </c>
      <c r="AA17" s="4">
        <v>320</v>
      </c>
      <c r="AB17" s="4">
        <v>389</v>
      </c>
      <c r="AC17" s="4">
        <v>130</v>
      </c>
      <c r="AD17" s="6">
        <f t="shared" si="1"/>
        <v>174</v>
      </c>
    </row>
    <row r="18" spans="1:30">
      <c r="A18" s="4">
        <v>1.8</v>
      </c>
      <c r="B18" s="4">
        <v>450</v>
      </c>
      <c r="C18" s="4">
        <v>900</v>
      </c>
      <c r="D18" s="6">
        <v>348</v>
      </c>
      <c r="E18" s="4"/>
      <c r="F18" s="4"/>
      <c r="G18" s="4">
        <v>361</v>
      </c>
      <c r="H18" s="4">
        <v>381</v>
      </c>
      <c r="I18" s="4">
        <v>356</v>
      </c>
      <c r="J18" s="4">
        <v>414</v>
      </c>
      <c r="K18" s="4"/>
      <c r="L18" s="4"/>
      <c r="M18" s="4"/>
      <c r="N18" s="4">
        <v>429</v>
      </c>
      <c r="O18" s="4">
        <v>295</v>
      </c>
      <c r="P18" s="4">
        <v>270</v>
      </c>
      <c r="Q18" s="4">
        <v>286</v>
      </c>
      <c r="R18" s="4">
        <v>283</v>
      </c>
      <c r="S18" s="4">
        <v>358</v>
      </c>
      <c r="T18" s="4"/>
      <c r="U18" s="4">
        <v>836</v>
      </c>
      <c r="V18" s="4">
        <v>132</v>
      </c>
      <c r="W18" s="6">
        <f t="shared" si="0"/>
        <v>5945.9459459459467</v>
      </c>
      <c r="X18" s="4">
        <v>734</v>
      </c>
      <c r="Y18" s="4">
        <v>659</v>
      </c>
      <c r="Z18" s="6">
        <v>734</v>
      </c>
      <c r="AA18" s="4">
        <v>320</v>
      </c>
      <c r="AB18" s="4">
        <v>389</v>
      </c>
      <c r="AC18" s="4">
        <v>130</v>
      </c>
      <c r="AD18" s="6">
        <f t="shared" si="1"/>
        <v>227</v>
      </c>
    </row>
    <row r="19" spans="1:30">
      <c r="A19" s="4">
        <v>1.9</v>
      </c>
      <c r="B19" s="4">
        <v>475</v>
      </c>
      <c r="C19" s="4">
        <v>950</v>
      </c>
      <c r="D19" s="6">
        <v>371</v>
      </c>
      <c r="E19" s="4"/>
      <c r="F19" s="4"/>
      <c r="G19" s="4">
        <v>386</v>
      </c>
      <c r="H19" s="4">
        <v>406</v>
      </c>
      <c r="I19" s="4">
        <v>379</v>
      </c>
      <c r="J19" s="4">
        <v>443</v>
      </c>
      <c r="K19" s="4"/>
      <c r="L19" s="4"/>
      <c r="M19" s="4"/>
      <c r="N19" s="4">
        <v>460</v>
      </c>
      <c r="O19" s="4">
        <v>317</v>
      </c>
      <c r="P19" s="4">
        <v>296</v>
      </c>
      <c r="Q19" s="4">
        <v>314</v>
      </c>
      <c r="R19" s="4">
        <v>309</v>
      </c>
      <c r="S19" s="4">
        <v>387</v>
      </c>
      <c r="T19" s="4"/>
      <c r="U19" s="4">
        <v>891</v>
      </c>
      <c r="V19" s="4">
        <v>140</v>
      </c>
      <c r="W19" s="6">
        <f t="shared" si="0"/>
        <v>6306.3063063063064</v>
      </c>
      <c r="X19" s="4">
        <v>780</v>
      </c>
      <c r="Y19" s="4">
        <v>701</v>
      </c>
      <c r="Z19" s="6">
        <v>780</v>
      </c>
      <c r="AA19" s="4">
        <v>320</v>
      </c>
      <c r="AB19" s="4">
        <v>389</v>
      </c>
      <c r="AC19" s="4">
        <v>130</v>
      </c>
      <c r="AD19" s="6">
        <f t="shared" si="1"/>
        <v>281</v>
      </c>
    </row>
    <row r="20" spans="1:30">
      <c r="A20" s="4">
        <v>2</v>
      </c>
      <c r="B20" s="4">
        <v>500</v>
      </c>
      <c r="C20" s="4">
        <v>1000</v>
      </c>
      <c r="D20" s="6">
        <v>394</v>
      </c>
      <c r="E20" s="4"/>
      <c r="F20" s="4"/>
      <c r="G20" s="4">
        <v>412</v>
      </c>
      <c r="H20" s="4">
        <v>432</v>
      </c>
      <c r="I20" s="4">
        <v>402</v>
      </c>
      <c r="J20" s="4">
        <v>473</v>
      </c>
      <c r="K20" s="4"/>
      <c r="L20" s="4"/>
      <c r="M20" s="4"/>
      <c r="N20" s="4">
        <v>490</v>
      </c>
      <c r="O20" s="4">
        <v>342</v>
      </c>
      <c r="P20" s="4">
        <v>321</v>
      </c>
      <c r="Q20" s="4">
        <v>342</v>
      </c>
      <c r="R20" s="4">
        <v>335</v>
      </c>
      <c r="S20" s="4">
        <v>416</v>
      </c>
      <c r="T20" s="4"/>
      <c r="U20" s="4">
        <v>945</v>
      </c>
      <c r="V20" s="4">
        <v>149</v>
      </c>
      <c r="W20" s="6">
        <f t="shared" si="0"/>
        <v>6711.7117117117123</v>
      </c>
      <c r="X20" s="4">
        <v>827</v>
      </c>
      <c r="Y20" s="4">
        <v>743</v>
      </c>
      <c r="Z20" s="6">
        <v>827</v>
      </c>
      <c r="AA20" s="4">
        <v>320</v>
      </c>
      <c r="AB20" s="4">
        <v>389</v>
      </c>
      <c r="AC20" s="4">
        <v>130</v>
      </c>
      <c r="AD20" s="6">
        <f t="shared" si="1"/>
        <v>334</v>
      </c>
    </row>
    <row r="21" spans="1:30">
      <c r="A21" s="4">
        <v>2.1</v>
      </c>
      <c r="B21" s="4">
        <v>525</v>
      </c>
      <c r="C21" s="4">
        <v>1050</v>
      </c>
      <c r="D21" s="6">
        <v>422</v>
      </c>
      <c r="E21" s="4"/>
      <c r="F21" s="4"/>
      <c r="G21" s="4">
        <v>437</v>
      </c>
      <c r="H21" s="4">
        <v>458</v>
      </c>
      <c r="I21" s="4">
        <v>428</v>
      </c>
      <c r="J21" s="4">
        <v>502</v>
      </c>
      <c r="K21" s="4"/>
      <c r="L21" s="4"/>
      <c r="M21" s="4"/>
      <c r="N21" s="4">
        <v>521</v>
      </c>
      <c r="O21" s="4">
        <v>368</v>
      </c>
      <c r="P21" s="4">
        <v>346</v>
      </c>
      <c r="Q21" s="4">
        <v>370</v>
      </c>
      <c r="R21" s="4">
        <v>361</v>
      </c>
      <c r="S21" s="4">
        <v>446</v>
      </c>
      <c r="T21" s="4"/>
      <c r="U21" s="4">
        <v>1000</v>
      </c>
      <c r="V21" s="4">
        <v>159</v>
      </c>
      <c r="W21" s="6">
        <f t="shared" si="0"/>
        <v>7162.1621621621625</v>
      </c>
      <c r="X21" s="4">
        <v>883</v>
      </c>
      <c r="Y21" s="4">
        <v>785</v>
      </c>
      <c r="Z21" s="6">
        <v>883</v>
      </c>
      <c r="AA21" s="4">
        <v>320</v>
      </c>
      <c r="AB21" s="4">
        <v>389</v>
      </c>
      <c r="AC21" s="4">
        <v>130</v>
      </c>
      <c r="AD21" s="6">
        <f t="shared" si="1"/>
        <v>378</v>
      </c>
    </row>
    <row r="22" spans="1:30">
      <c r="A22" s="4">
        <v>2.2000000000000002</v>
      </c>
      <c r="B22" s="4">
        <v>550</v>
      </c>
      <c r="C22" s="4">
        <v>1100</v>
      </c>
      <c r="D22" s="6">
        <v>450</v>
      </c>
      <c r="E22" s="4"/>
      <c r="F22" s="4"/>
      <c r="G22" s="4">
        <v>464</v>
      </c>
      <c r="H22" s="4">
        <v>483</v>
      </c>
      <c r="I22" s="4">
        <v>457</v>
      </c>
      <c r="J22" s="4">
        <v>532</v>
      </c>
      <c r="K22" s="4"/>
      <c r="L22" s="4"/>
      <c r="M22" s="4"/>
      <c r="N22" s="4">
        <v>551</v>
      </c>
      <c r="O22" s="4">
        <v>393</v>
      </c>
      <c r="P22" s="4">
        <v>372</v>
      </c>
      <c r="Q22" s="4">
        <v>398</v>
      </c>
      <c r="R22" s="4">
        <v>388</v>
      </c>
      <c r="S22" s="4">
        <v>475</v>
      </c>
      <c r="T22" s="4"/>
      <c r="U22" s="4">
        <v>1080</v>
      </c>
      <c r="V22" s="4">
        <v>169</v>
      </c>
      <c r="W22" s="6">
        <f t="shared" si="0"/>
        <v>7612.6126126126128</v>
      </c>
      <c r="X22" s="4">
        <v>938</v>
      </c>
      <c r="Y22" s="4">
        <v>846</v>
      </c>
      <c r="Z22" s="6">
        <v>938</v>
      </c>
      <c r="AA22" s="4">
        <v>320</v>
      </c>
      <c r="AB22" s="4">
        <v>389</v>
      </c>
      <c r="AC22" s="4">
        <v>130</v>
      </c>
      <c r="AD22" s="6">
        <f t="shared" si="1"/>
        <v>423</v>
      </c>
    </row>
    <row r="23" spans="1:30">
      <c r="A23" s="4">
        <v>2.2999999999999998</v>
      </c>
      <c r="B23" s="4">
        <v>575</v>
      </c>
      <c r="C23" s="4">
        <v>1150</v>
      </c>
      <c r="D23" s="6">
        <v>478</v>
      </c>
      <c r="E23" s="4"/>
      <c r="F23" s="4"/>
      <c r="G23" s="4">
        <v>493</v>
      </c>
      <c r="H23" s="4">
        <v>509</v>
      </c>
      <c r="I23" s="4">
        <v>486</v>
      </c>
      <c r="J23" s="4">
        <v>561</v>
      </c>
      <c r="K23" s="4"/>
      <c r="L23" s="4"/>
      <c r="M23" s="4"/>
      <c r="N23" s="4">
        <v>582</v>
      </c>
      <c r="O23" s="4">
        <v>419</v>
      </c>
      <c r="P23" s="4">
        <v>394</v>
      </c>
      <c r="Q23" s="4">
        <v>426</v>
      </c>
      <c r="R23" s="4">
        <v>418</v>
      </c>
      <c r="S23" s="4">
        <v>504</v>
      </c>
      <c r="T23" s="4"/>
      <c r="U23" s="4">
        <v>1160</v>
      </c>
      <c r="V23" s="4">
        <v>179</v>
      </c>
      <c r="W23" s="6">
        <f t="shared" si="0"/>
        <v>8063.063063063064</v>
      </c>
      <c r="X23" s="4">
        <v>994</v>
      </c>
      <c r="Y23" s="4">
        <v>907</v>
      </c>
      <c r="Z23" s="6">
        <v>994</v>
      </c>
      <c r="AA23" s="4">
        <v>320</v>
      </c>
      <c r="AB23" s="4">
        <v>389</v>
      </c>
      <c r="AC23" s="4">
        <v>130</v>
      </c>
      <c r="AD23" s="6">
        <f t="shared" si="1"/>
        <v>467</v>
      </c>
    </row>
    <row r="24" spans="1:30">
      <c r="A24" s="4">
        <v>2.4</v>
      </c>
      <c r="B24" s="4">
        <v>600</v>
      </c>
      <c r="C24" s="4">
        <v>1200</v>
      </c>
      <c r="D24" s="6">
        <v>506</v>
      </c>
      <c r="E24" s="4"/>
      <c r="F24" s="4"/>
      <c r="G24" s="4">
        <v>521</v>
      </c>
      <c r="H24" s="4">
        <v>537</v>
      </c>
      <c r="I24" s="4">
        <v>515</v>
      </c>
      <c r="J24" s="4">
        <v>591</v>
      </c>
      <c r="K24" s="4"/>
      <c r="L24" s="4"/>
      <c r="M24" s="4"/>
      <c r="N24" s="4">
        <v>612</v>
      </c>
      <c r="O24" s="4">
        <v>445</v>
      </c>
      <c r="P24" s="4">
        <v>417</v>
      </c>
      <c r="Q24" s="4">
        <v>457</v>
      </c>
      <c r="R24" s="4">
        <v>449</v>
      </c>
      <c r="S24" s="4">
        <v>534</v>
      </c>
      <c r="T24" s="4"/>
      <c r="U24" s="4">
        <v>1240</v>
      </c>
      <c r="V24" s="4">
        <v>189</v>
      </c>
      <c r="W24" s="6">
        <f t="shared" si="0"/>
        <v>8513.5135135135133</v>
      </c>
      <c r="X24" s="4">
        <v>1050</v>
      </c>
      <c r="Y24" s="4">
        <v>969</v>
      </c>
      <c r="Z24" s="6">
        <v>1050</v>
      </c>
      <c r="AA24" s="4">
        <v>320</v>
      </c>
      <c r="AB24" s="4">
        <v>389</v>
      </c>
      <c r="AC24" s="4">
        <v>130</v>
      </c>
      <c r="AD24" s="6">
        <f t="shared" si="1"/>
        <v>511</v>
      </c>
    </row>
    <row r="25" spans="1:30">
      <c r="A25" s="8">
        <v>2.5</v>
      </c>
      <c r="B25" s="8">
        <v>625</v>
      </c>
      <c r="C25" s="8">
        <v>1250</v>
      </c>
      <c r="D25" s="8">
        <v>534</v>
      </c>
      <c r="E25" s="8"/>
      <c r="F25" s="8"/>
      <c r="G25" s="8">
        <v>549</v>
      </c>
      <c r="H25" s="8">
        <v>569</v>
      </c>
      <c r="I25" s="8">
        <v>545</v>
      </c>
      <c r="J25" s="8">
        <v>620</v>
      </c>
      <c r="K25" s="8"/>
      <c r="L25" s="8"/>
      <c r="M25" s="8"/>
      <c r="N25" s="8">
        <v>642</v>
      </c>
      <c r="O25" s="8">
        <v>477</v>
      </c>
      <c r="P25" s="8">
        <v>439</v>
      </c>
      <c r="Q25" s="8">
        <v>490</v>
      </c>
      <c r="R25" s="8">
        <v>479</v>
      </c>
      <c r="S25" s="8">
        <v>563</v>
      </c>
      <c r="T25" s="8"/>
      <c r="U25" s="8">
        <v>1320</v>
      </c>
      <c r="V25" s="8">
        <v>199</v>
      </c>
      <c r="W25" s="8">
        <f t="shared" si="0"/>
        <v>8963.9639639639645</v>
      </c>
      <c r="X25" s="8">
        <v>1106</v>
      </c>
      <c r="Y25" s="8">
        <v>1030</v>
      </c>
      <c r="Z25" s="8">
        <v>1106</v>
      </c>
      <c r="AA25" s="8">
        <v>320</v>
      </c>
      <c r="AB25" s="8">
        <v>389</v>
      </c>
      <c r="AC25" s="8">
        <v>130</v>
      </c>
      <c r="AD25" s="8">
        <f t="shared" si="1"/>
        <v>555</v>
      </c>
    </row>
    <row r="26" spans="1:30">
      <c r="A26" s="4">
        <v>2.6</v>
      </c>
      <c r="B26" s="4">
        <v>650</v>
      </c>
      <c r="C26" s="4">
        <v>1300</v>
      </c>
      <c r="D26" s="6">
        <v>562</v>
      </c>
      <c r="E26" s="4"/>
      <c r="F26" s="4"/>
      <c r="G26" s="4">
        <v>578</v>
      </c>
      <c r="H26" s="4">
        <v>601</v>
      </c>
      <c r="I26" s="4">
        <v>574</v>
      </c>
      <c r="J26" s="4">
        <v>650</v>
      </c>
      <c r="K26" s="4"/>
      <c r="L26" s="4"/>
      <c r="M26" s="4"/>
      <c r="N26" s="4">
        <v>675</v>
      </c>
      <c r="O26" s="4">
        <v>509</v>
      </c>
      <c r="P26" s="4">
        <v>462</v>
      </c>
      <c r="Q26" s="4">
        <v>522</v>
      </c>
      <c r="R26" s="4">
        <v>509</v>
      </c>
      <c r="S26" s="4">
        <v>592</v>
      </c>
      <c r="T26" s="4"/>
      <c r="U26" s="4">
        <v>1399</v>
      </c>
      <c r="V26" s="4">
        <v>209</v>
      </c>
      <c r="W26" s="6">
        <f t="shared" si="0"/>
        <v>9414.4144144144138</v>
      </c>
      <c r="X26" s="4">
        <v>1162</v>
      </c>
      <c r="Y26" s="4">
        <v>1092</v>
      </c>
      <c r="Z26" s="6">
        <v>1162</v>
      </c>
      <c r="AA26" s="4">
        <v>320</v>
      </c>
      <c r="AB26" s="4">
        <v>389</v>
      </c>
      <c r="AC26" s="4">
        <v>130</v>
      </c>
      <c r="AD26" s="6">
        <f t="shared" si="1"/>
        <v>599</v>
      </c>
    </row>
    <row r="27" spans="1:30">
      <c r="A27" s="4">
        <v>2.7</v>
      </c>
      <c r="B27" s="4">
        <v>675</v>
      </c>
      <c r="C27" s="4">
        <v>1350</v>
      </c>
      <c r="D27" s="6">
        <v>590</v>
      </c>
      <c r="E27" s="4"/>
      <c r="F27" s="4"/>
      <c r="G27" s="4">
        <v>606</v>
      </c>
      <c r="H27" s="4">
        <v>633</v>
      </c>
      <c r="I27" s="4">
        <v>603</v>
      </c>
      <c r="J27" s="4">
        <v>680</v>
      </c>
      <c r="K27" s="4"/>
      <c r="L27" s="4"/>
      <c r="M27" s="4"/>
      <c r="N27" s="4">
        <v>707</v>
      </c>
      <c r="O27" s="4">
        <v>541</v>
      </c>
      <c r="P27" s="4">
        <v>485</v>
      </c>
      <c r="Q27" s="4">
        <v>555</v>
      </c>
      <c r="R27" s="4">
        <v>540</v>
      </c>
      <c r="S27" s="4">
        <v>621</v>
      </c>
      <c r="T27" s="4"/>
      <c r="U27" s="4">
        <v>1482</v>
      </c>
      <c r="V27" s="4">
        <v>219</v>
      </c>
      <c r="W27" s="6">
        <f t="shared" si="0"/>
        <v>9864.864864864865</v>
      </c>
      <c r="X27" s="4">
        <v>1217</v>
      </c>
      <c r="Y27" s="4">
        <v>1156</v>
      </c>
      <c r="Z27" s="6">
        <v>1217</v>
      </c>
      <c r="AA27" s="4">
        <v>320</v>
      </c>
      <c r="AB27" s="4">
        <v>389</v>
      </c>
      <c r="AC27" s="4">
        <v>130</v>
      </c>
      <c r="AD27" s="6">
        <f t="shared" si="1"/>
        <v>644</v>
      </c>
    </row>
    <row r="28" spans="1:30">
      <c r="A28" s="4">
        <v>2.8</v>
      </c>
      <c r="B28" s="4">
        <v>700</v>
      </c>
      <c r="C28" s="4">
        <v>1400</v>
      </c>
      <c r="D28" s="6">
        <v>618</v>
      </c>
      <c r="E28" s="4"/>
      <c r="F28" s="4"/>
      <c r="G28" s="4">
        <v>635</v>
      </c>
      <c r="H28" s="4">
        <v>665</v>
      </c>
      <c r="I28" s="4">
        <v>632</v>
      </c>
      <c r="J28" s="4">
        <v>709</v>
      </c>
      <c r="K28" s="4"/>
      <c r="L28" s="4"/>
      <c r="M28" s="4"/>
      <c r="N28" s="4">
        <v>739</v>
      </c>
      <c r="O28" s="4">
        <v>573</v>
      </c>
      <c r="P28" s="4">
        <v>508</v>
      </c>
      <c r="Q28" s="4">
        <v>587</v>
      </c>
      <c r="R28" s="4">
        <v>571</v>
      </c>
      <c r="S28" s="4">
        <v>651</v>
      </c>
      <c r="T28" s="4"/>
      <c r="U28" s="4">
        <v>1568</v>
      </c>
      <c r="V28" s="4">
        <v>229</v>
      </c>
      <c r="W28" s="6">
        <f t="shared" si="0"/>
        <v>10315.315315315314</v>
      </c>
      <c r="X28" s="4">
        <v>1273</v>
      </c>
      <c r="Y28" s="4">
        <v>1221</v>
      </c>
      <c r="Z28" s="6">
        <v>1273</v>
      </c>
      <c r="AA28" s="4">
        <v>320</v>
      </c>
      <c r="AB28" s="4">
        <v>389</v>
      </c>
      <c r="AC28" s="4">
        <v>130</v>
      </c>
      <c r="AD28" s="6">
        <f t="shared" si="1"/>
        <v>688</v>
      </c>
    </row>
    <row r="29" spans="1:30">
      <c r="A29" s="4">
        <v>2.9</v>
      </c>
      <c r="B29" s="4">
        <v>725</v>
      </c>
      <c r="C29" s="4">
        <v>1450</v>
      </c>
      <c r="D29" s="6">
        <v>646</v>
      </c>
      <c r="E29" s="4"/>
      <c r="F29" s="4"/>
      <c r="G29" s="4">
        <v>663</v>
      </c>
      <c r="H29" s="4">
        <v>697</v>
      </c>
      <c r="I29" s="4">
        <v>661</v>
      </c>
      <c r="J29" s="4">
        <v>739</v>
      </c>
      <c r="K29" s="4"/>
      <c r="L29" s="4"/>
      <c r="M29" s="4"/>
      <c r="N29" s="4">
        <v>771</v>
      </c>
      <c r="O29" s="4">
        <v>605</v>
      </c>
      <c r="P29" s="4">
        <v>543</v>
      </c>
      <c r="Q29" s="4">
        <v>619</v>
      </c>
      <c r="R29" s="4">
        <v>607</v>
      </c>
      <c r="S29" s="4">
        <v>681</v>
      </c>
      <c r="T29" s="4"/>
      <c r="U29" s="4">
        <v>1653</v>
      </c>
      <c r="V29" s="4">
        <v>239</v>
      </c>
      <c r="W29" s="6">
        <f t="shared" si="0"/>
        <v>10765.765765765766</v>
      </c>
      <c r="X29" s="4">
        <v>1329</v>
      </c>
      <c r="Y29" s="4">
        <v>1287</v>
      </c>
      <c r="Z29" s="6">
        <v>1329</v>
      </c>
      <c r="AA29" s="4">
        <v>320</v>
      </c>
      <c r="AB29" s="4">
        <v>389</v>
      </c>
      <c r="AC29" s="4">
        <v>130</v>
      </c>
      <c r="AD29" s="6">
        <f t="shared" si="1"/>
        <v>732</v>
      </c>
    </row>
    <row r="30" spans="1:30">
      <c r="A30" s="4">
        <v>3</v>
      </c>
      <c r="B30" s="4">
        <v>750</v>
      </c>
      <c r="C30" s="4">
        <v>1500</v>
      </c>
      <c r="D30" s="6">
        <v>673</v>
      </c>
      <c r="E30" s="4"/>
      <c r="F30" s="4"/>
      <c r="G30" s="4">
        <v>691</v>
      </c>
      <c r="H30" s="4">
        <v>729</v>
      </c>
      <c r="I30" s="4">
        <v>691</v>
      </c>
      <c r="J30" s="4">
        <v>768</v>
      </c>
      <c r="K30" s="4"/>
      <c r="L30" s="4"/>
      <c r="M30" s="4"/>
      <c r="N30" s="4">
        <v>803</v>
      </c>
      <c r="O30" s="4">
        <v>638</v>
      </c>
      <c r="P30" s="4">
        <v>578</v>
      </c>
      <c r="Q30" s="4">
        <v>657</v>
      </c>
      <c r="R30" s="4">
        <v>643</v>
      </c>
      <c r="S30" s="4">
        <v>718</v>
      </c>
      <c r="T30" s="4"/>
      <c r="U30" s="4">
        <v>1738</v>
      </c>
      <c r="V30" s="4">
        <v>249</v>
      </c>
      <c r="W30" s="6">
        <f t="shared" si="0"/>
        <v>11216.216216216215</v>
      </c>
      <c r="X30" s="4">
        <v>1384</v>
      </c>
      <c r="Y30" s="4">
        <v>1352</v>
      </c>
      <c r="Z30" s="6">
        <v>1384</v>
      </c>
      <c r="AA30" s="4">
        <v>320</v>
      </c>
      <c r="AB30" s="4">
        <v>389</v>
      </c>
      <c r="AC30" s="4">
        <v>130</v>
      </c>
      <c r="AD30" s="6">
        <f t="shared" si="1"/>
        <v>777</v>
      </c>
    </row>
    <row r="31" spans="1:30">
      <c r="A31" s="4">
        <v>3.1</v>
      </c>
      <c r="B31" s="4">
        <v>775</v>
      </c>
      <c r="C31" s="4">
        <v>1550</v>
      </c>
      <c r="D31" s="6">
        <v>700</v>
      </c>
      <c r="E31" s="4"/>
      <c r="F31" s="4"/>
      <c r="G31" s="4">
        <v>726</v>
      </c>
      <c r="H31" s="4">
        <v>761</v>
      </c>
      <c r="I31" s="4">
        <v>721</v>
      </c>
      <c r="J31" s="4">
        <v>798</v>
      </c>
      <c r="K31" s="4"/>
      <c r="L31" s="4"/>
      <c r="M31" s="4"/>
      <c r="N31" s="4">
        <v>835</v>
      </c>
      <c r="O31" s="4">
        <v>666</v>
      </c>
      <c r="P31" s="4">
        <v>612</v>
      </c>
      <c r="Q31" s="4">
        <v>697</v>
      </c>
      <c r="R31" s="4">
        <v>680</v>
      </c>
      <c r="S31" s="4">
        <v>755</v>
      </c>
      <c r="T31" s="4"/>
      <c r="U31" s="4">
        <v>1823</v>
      </c>
      <c r="V31" s="4">
        <v>259</v>
      </c>
      <c r="W31" s="6">
        <f t="shared" si="0"/>
        <v>11666.666666666668</v>
      </c>
      <c r="X31" s="4">
        <v>1438</v>
      </c>
      <c r="Y31" s="4">
        <v>1418</v>
      </c>
      <c r="Z31" s="6">
        <v>1438</v>
      </c>
      <c r="AA31" s="4">
        <v>320</v>
      </c>
      <c r="AB31" s="4">
        <v>389</v>
      </c>
      <c r="AC31" s="4">
        <v>130</v>
      </c>
      <c r="AD31" s="6">
        <f t="shared" si="1"/>
        <v>823</v>
      </c>
    </row>
    <row r="32" spans="1:30">
      <c r="A32" s="9">
        <v>3.2</v>
      </c>
      <c r="B32" s="9">
        <v>800</v>
      </c>
      <c r="C32" s="9">
        <v>1600</v>
      </c>
      <c r="D32" s="10">
        <v>727</v>
      </c>
      <c r="E32" s="9"/>
      <c r="F32" s="9"/>
      <c r="G32" s="9">
        <v>761</v>
      </c>
      <c r="H32" s="9">
        <v>793</v>
      </c>
      <c r="I32" s="9">
        <v>751</v>
      </c>
      <c r="J32" s="9">
        <v>827</v>
      </c>
      <c r="K32" s="9"/>
      <c r="L32" s="9">
        <v>978</v>
      </c>
      <c r="M32" s="9">
        <v>1005</v>
      </c>
      <c r="N32" s="9">
        <v>867</v>
      </c>
      <c r="O32" s="9">
        <v>693</v>
      </c>
      <c r="P32" s="9">
        <v>647</v>
      </c>
      <c r="Q32" s="9">
        <v>737</v>
      </c>
      <c r="R32" s="9">
        <v>716</v>
      </c>
      <c r="S32" s="9">
        <v>792</v>
      </c>
      <c r="T32" s="9"/>
      <c r="U32" s="9">
        <v>1908</v>
      </c>
      <c r="V32" s="9">
        <v>269</v>
      </c>
      <c r="W32" s="6">
        <f t="shared" si="0"/>
        <v>12117.117117117119</v>
      </c>
      <c r="X32" s="9">
        <v>1492</v>
      </c>
      <c r="Y32" s="9">
        <v>1483</v>
      </c>
      <c r="Z32" s="10">
        <v>1492</v>
      </c>
      <c r="AA32" s="9">
        <v>320</v>
      </c>
      <c r="AB32" s="9">
        <v>389</v>
      </c>
      <c r="AC32" s="9">
        <v>130</v>
      </c>
      <c r="AD32" s="10">
        <f t="shared" si="1"/>
        <v>869</v>
      </c>
    </row>
    <row r="33" spans="1:30">
      <c r="A33" s="4">
        <v>3.3</v>
      </c>
      <c r="B33" s="4">
        <v>825</v>
      </c>
      <c r="C33" s="4">
        <v>1650</v>
      </c>
      <c r="D33" s="6">
        <v>755</v>
      </c>
      <c r="E33" s="4"/>
      <c r="F33" s="4"/>
      <c r="G33" s="4">
        <v>795</v>
      </c>
      <c r="H33" s="4">
        <v>824</v>
      </c>
      <c r="I33" s="4">
        <v>781</v>
      </c>
      <c r="J33" s="4">
        <v>857</v>
      </c>
      <c r="K33" s="4">
        <v>1003</v>
      </c>
      <c r="L33" s="4">
        <v>1018</v>
      </c>
      <c r="M33" s="4">
        <v>1054</v>
      </c>
      <c r="N33" s="4">
        <v>899</v>
      </c>
      <c r="O33" s="4">
        <v>720</v>
      </c>
      <c r="P33" s="4">
        <v>682</v>
      </c>
      <c r="Q33" s="4">
        <v>777</v>
      </c>
      <c r="R33" s="4">
        <v>752</v>
      </c>
      <c r="S33" s="4">
        <v>829</v>
      </c>
      <c r="T33" s="4"/>
      <c r="U33" s="4">
        <v>1998</v>
      </c>
      <c r="V33" s="4">
        <v>278</v>
      </c>
      <c r="W33" s="6">
        <f t="shared" si="0"/>
        <v>12522.522522522524</v>
      </c>
      <c r="X33" s="4">
        <v>1547</v>
      </c>
      <c r="Y33" s="4">
        <v>1552</v>
      </c>
      <c r="Z33" s="6">
        <v>1552</v>
      </c>
      <c r="AA33" s="4">
        <v>320</v>
      </c>
      <c r="AB33" s="4">
        <v>389</v>
      </c>
      <c r="AC33" s="4">
        <v>130</v>
      </c>
      <c r="AD33" s="6">
        <f t="shared" si="1"/>
        <v>909</v>
      </c>
    </row>
    <row r="34" spans="1:30">
      <c r="A34" s="4">
        <v>3.4</v>
      </c>
      <c r="B34" s="4">
        <v>850</v>
      </c>
      <c r="C34" s="4">
        <v>1700</v>
      </c>
      <c r="D34" s="6">
        <v>782</v>
      </c>
      <c r="E34" s="4"/>
      <c r="F34" s="4"/>
      <c r="G34" s="4">
        <v>830</v>
      </c>
      <c r="H34" s="4">
        <v>856</v>
      </c>
      <c r="I34" s="4">
        <v>811</v>
      </c>
      <c r="J34" s="4">
        <v>886</v>
      </c>
      <c r="K34" s="4">
        <v>1044</v>
      </c>
      <c r="L34" s="4">
        <v>1058</v>
      </c>
      <c r="M34" s="4">
        <v>1104</v>
      </c>
      <c r="N34" s="4">
        <v>931</v>
      </c>
      <c r="O34" s="4">
        <v>747</v>
      </c>
      <c r="P34" s="4">
        <v>715</v>
      </c>
      <c r="Q34" s="4">
        <v>817</v>
      </c>
      <c r="R34" s="4">
        <v>791</v>
      </c>
      <c r="S34" s="4">
        <v>866</v>
      </c>
      <c r="T34" s="4"/>
      <c r="U34" s="4">
        <v>2088</v>
      </c>
      <c r="V34" s="4">
        <v>288</v>
      </c>
      <c r="W34" s="6">
        <f t="shared" si="0"/>
        <v>12972.972972972973</v>
      </c>
      <c r="X34" s="4">
        <v>1601</v>
      </c>
      <c r="Y34" s="4">
        <v>1622</v>
      </c>
      <c r="Z34" s="6">
        <v>1622</v>
      </c>
      <c r="AA34" s="4">
        <v>320</v>
      </c>
      <c r="AB34" s="4">
        <v>389</v>
      </c>
      <c r="AC34" s="4">
        <v>130</v>
      </c>
      <c r="AD34" s="6">
        <f t="shared" si="1"/>
        <v>939</v>
      </c>
    </row>
    <row r="35" spans="1:30">
      <c r="A35" s="4">
        <v>3.5</v>
      </c>
      <c r="B35" s="4">
        <v>875</v>
      </c>
      <c r="C35" s="4">
        <v>1750</v>
      </c>
      <c r="D35" s="6">
        <v>809</v>
      </c>
      <c r="E35" s="4"/>
      <c r="F35" s="4"/>
      <c r="G35" s="4">
        <v>865</v>
      </c>
      <c r="H35" s="4">
        <v>889</v>
      </c>
      <c r="I35" s="4">
        <v>841</v>
      </c>
      <c r="J35" s="4">
        <v>920</v>
      </c>
      <c r="K35" s="4">
        <v>1084</v>
      </c>
      <c r="L35" s="4">
        <v>1098</v>
      </c>
      <c r="M35" s="4">
        <v>1153</v>
      </c>
      <c r="N35" s="4">
        <v>963</v>
      </c>
      <c r="O35" s="4">
        <v>773</v>
      </c>
      <c r="P35" s="4">
        <v>746</v>
      </c>
      <c r="Q35" s="4">
        <v>857</v>
      </c>
      <c r="R35" s="4">
        <v>833</v>
      </c>
      <c r="S35" s="4">
        <v>903</v>
      </c>
      <c r="T35" s="4">
        <v>956</v>
      </c>
      <c r="U35" s="4">
        <v>2178</v>
      </c>
      <c r="V35" s="4">
        <v>298</v>
      </c>
      <c r="W35" s="6">
        <f t="shared" si="0"/>
        <v>13423.423423423425</v>
      </c>
      <c r="X35" s="4">
        <v>1656</v>
      </c>
      <c r="Y35" s="4">
        <v>1691</v>
      </c>
      <c r="Z35" s="6">
        <v>1691</v>
      </c>
      <c r="AA35" s="4">
        <v>320</v>
      </c>
      <c r="AB35" s="4">
        <v>389</v>
      </c>
      <c r="AC35" s="4">
        <v>130</v>
      </c>
      <c r="AD35" s="6">
        <f t="shared" si="1"/>
        <v>970</v>
      </c>
    </row>
    <row r="36" spans="1:30">
      <c r="A36" s="4">
        <v>3.6</v>
      </c>
      <c r="B36" s="4">
        <v>900</v>
      </c>
      <c r="C36" s="4">
        <v>1800</v>
      </c>
      <c r="D36" s="6">
        <v>836</v>
      </c>
      <c r="E36" s="4"/>
      <c r="F36" s="4"/>
      <c r="G36" s="4">
        <v>899</v>
      </c>
      <c r="H36" s="4">
        <v>924</v>
      </c>
      <c r="I36" s="4">
        <v>871</v>
      </c>
      <c r="J36" s="4">
        <v>956</v>
      </c>
      <c r="K36" s="4">
        <v>1125</v>
      </c>
      <c r="L36" s="4">
        <v>1138</v>
      </c>
      <c r="M36" s="4">
        <v>1203</v>
      </c>
      <c r="N36" s="4">
        <v>995</v>
      </c>
      <c r="O36" s="4">
        <v>800</v>
      </c>
      <c r="P36" s="4">
        <v>778</v>
      </c>
      <c r="Q36" s="4">
        <v>899</v>
      </c>
      <c r="R36" s="4">
        <v>875</v>
      </c>
      <c r="S36" s="4">
        <v>940</v>
      </c>
      <c r="T36" s="4">
        <v>993</v>
      </c>
      <c r="U36" s="4">
        <v>2269</v>
      </c>
      <c r="V36" s="4">
        <v>308</v>
      </c>
      <c r="W36" s="6">
        <f t="shared" si="0"/>
        <v>13873.873873873874</v>
      </c>
      <c r="X36" s="4">
        <v>1710</v>
      </c>
      <c r="Y36" s="4">
        <v>1761</v>
      </c>
      <c r="Z36" s="6">
        <v>1761</v>
      </c>
      <c r="AA36" s="4">
        <v>320</v>
      </c>
      <c r="AB36" s="4">
        <v>389</v>
      </c>
      <c r="AC36" s="4">
        <v>130</v>
      </c>
      <c r="AD36" s="6">
        <f t="shared" si="1"/>
        <v>1000</v>
      </c>
    </row>
    <row r="37" spans="1:30">
      <c r="A37" s="4">
        <v>3.7</v>
      </c>
      <c r="B37" s="4">
        <v>925</v>
      </c>
      <c r="C37" s="4">
        <v>1850</v>
      </c>
      <c r="D37" s="6">
        <v>864</v>
      </c>
      <c r="E37" s="4"/>
      <c r="F37" s="4"/>
      <c r="G37" s="4">
        <v>934</v>
      </c>
      <c r="H37" s="4">
        <v>958</v>
      </c>
      <c r="I37" s="4">
        <v>901</v>
      </c>
      <c r="J37" s="4">
        <v>993</v>
      </c>
      <c r="K37" s="4">
        <v>1165</v>
      </c>
      <c r="L37" s="4">
        <v>1178</v>
      </c>
      <c r="M37" s="4"/>
      <c r="N37" s="4">
        <v>1028</v>
      </c>
      <c r="O37" s="4">
        <v>827</v>
      </c>
      <c r="P37" s="4">
        <v>810</v>
      </c>
      <c r="Q37" s="4">
        <v>942</v>
      </c>
      <c r="R37" s="4"/>
      <c r="S37" s="4">
        <v>978</v>
      </c>
      <c r="T37" s="4">
        <v>1030</v>
      </c>
      <c r="U37" s="4">
        <v>2359</v>
      </c>
      <c r="V37" s="4">
        <v>318</v>
      </c>
      <c r="W37" s="6">
        <f t="shared" si="0"/>
        <v>14324.324324324325</v>
      </c>
      <c r="X37" s="4">
        <v>1764</v>
      </c>
      <c r="Y37" s="4">
        <v>1830</v>
      </c>
      <c r="Z37" s="6">
        <v>1830</v>
      </c>
      <c r="AA37" s="4">
        <v>320</v>
      </c>
      <c r="AB37" s="4">
        <v>389</v>
      </c>
      <c r="AC37" s="4">
        <v>130</v>
      </c>
      <c r="AD37" s="6">
        <f t="shared" si="1"/>
        <v>1031</v>
      </c>
    </row>
    <row r="38" spans="1:30">
      <c r="A38" s="4">
        <v>3.8</v>
      </c>
      <c r="B38" s="4">
        <v>950</v>
      </c>
      <c r="C38" s="4">
        <v>1900</v>
      </c>
      <c r="D38" s="6">
        <v>891</v>
      </c>
      <c r="E38" s="4"/>
      <c r="F38" s="4"/>
      <c r="G38" s="4">
        <v>969</v>
      </c>
      <c r="H38" s="4">
        <v>993</v>
      </c>
      <c r="I38" s="4">
        <v>931</v>
      </c>
      <c r="J38" s="4">
        <v>1029</v>
      </c>
      <c r="K38" s="4">
        <v>1205</v>
      </c>
      <c r="L38" s="4">
        <v>1218</v>
      </c>
      <c r="M38" s="4"/>
      <c r="N38" s="4">
        <v>1060</v>
      </c>
      <c r="O38" s="4">
        <v>854</v>
      </c>
      <c r="P38" s="4">
        <v>841</v>
      </c>
      <c r="Q38" s="4">
        <v>984</v>
      </c>
      <c r="R38" s="4"/>
      <c r="S38" s="4">
        <v>1015</v>
      </c>
      <c r="T38" s="4">
        <v>1067</v>
      </c>
      <c r="U38" s="4">
        <v>2450</v>
      </c>
      <c r="V38" s="4">
        <v>327</v>
      </c>
      <c r="W38" s="6">
        <f t="shared" si="0"/>
        <v>14729.72972972973</v>
      </c>
      <c r="X38" s="4">
        <v>1819</v>
      </c>
      <c r="Y38" s="4">
        <v>1900</v>
      </c>
      <c r="Z38" s="6">
        <v>1900</v>
      </c>
      <c r="AA38" s="4">
        <v>320</v>
      </c>
      <c r="AB38" s="4">
        <v>389</v>
      </c>
      <c r="AC38" s="4">
        <v>130</v>
      </c>
      <c r="AD38" s="6">
        <f t="shared" si="1"/>
        <v>1061</v>
      </c>
    </row>
    <row r="39" spans="1:30">
      <c r="A39" s="4">
        <v>3.9</v>
      </c>
      <c r="B39" s="4">
        <v>975</v>
      </c>
      <c r="C39" s="4">
        <v>1950</v>
      </c>
      <c r="D39" s="4"/>
      <c r="E39" s="6">
        <v>665</v>
      </c>
      <c r="F39" s="4"/>
      <c r="G39" s="4">
        <v>1003</v>
      </c>
      <c r="H39" s="4">
        <v>1028</v>
      </c>
      <c r="I39" s="4">
        <v>961</v>
      </c>
      <c r="J39" s="4">
        <v>1066</v>
      </c>
      <c r="K39" s="4">
        <v>1246</v>
      </c>
      <c r="L39" s="4">
        <v>1259</v>
      </c>
      <c r="M39" s="4"/>
      <c r="N39" s="4">
        <v>1095</v>
      </c>
      <c r="O39" s="4">
        <v>886</v>
      </c>
      <c r="P39" s="4">
        <v>873</v>
      </c>
      <c r="Q39" s="4">
        <v>1027</v>
      </c>
      <c r="R39" s="4"/>
      <c r="S39" s="4">
        <v>1052</v>
      </c>
      <c r="T39" s="4">
        <v>1104</v>
      </c>
      <c r="U39" s="4">
        <v>2778</v>
      </c>
      <c r="V39" s="4">
        <v>246</v>
      </c>
      <c r="W39" s="6">
        <f t="shared" si="0"/>
        <v>11081.08108108108</v>
      </c>
      <c r="X39" s="4">
        <v>1367</v>
      </c>
      <c r="Y39" s="4">
        <v>2153</v>
      </c>
      <c r="Z39" s="6">
        <v>2153</v>
      </c>
      <c r="AA39" s="4">
        <v>320</v>
      </c>
      <c r="AB39" s="4">
        <v>389</v>
      </c>
      <c r="AC39" s="4">
        <v>130</v>
      </c>
      <c r="AD39" s="6">
        <f t="shared" si="1"/>
        <v>908</v>
      </c>
    </row>
    <row r="40" spans="1:30">
      <c r="A40" s="4">
        <v>4</v>
      </c>
      <c r="B40" s="4">
        <v>1000</v>
      </c>
      <c r="C40" s="4">
        <v>2000</v>
      </c>
      <c r="D40" s="4"/>
      <c r="E40" s="6">
        <v>719</v>
      </c>
      <c r="F40" s="4"/>
      <c r="G40" s="4">
        <v>1038</v>
      </c>
      <c r="H40" s="4">
        <v>1062</v>
      </c>
      <c r="I40" s="4">
        <v>991</v>
      </c>
      <c r="J40" s="4">
        <v>1102</v>
      </c>
      <c r="K40" s="4">
        <v>1286</v>
      </c>
      <c r="L40" s="4"/>
      <c r="M40" s="4"/>
      <c r="N40" s="4">
        <v>1133</v>
      </c>
      <c r="O40" s="4">
        <v>918</v>
      </c>
      <c r="P40" s="4">
        <v>906</v>
      </c>
      <c r="Q40" s="4">
        <v>1069</v>
      </c>
      <c r="R40" s="4"/>
      <c r="S40" s="4">
        <v>1089</v>
      </c>
      <c r="T40" s="4">
        <v>1141</v>
      </c>
      <c r="U40" s="4">
        <v>2887</v>
      </c>
      <c r="V40" s="4">
        <v>266</v>
      </c>
      <c r="W40" s="6">
        <f t="shared" si="0"/>
        <v>11981.981981981982</v>
      </c>
      <c r="X40" s="4">
        <v>1476</v>
      </c>
      <c r="Y40" s="4">
        <v>2236</v>
      </c>
      <c r="Z40" s="6">
        <v>2236</v>
      </c>
      <c r="AA40" s="4">
        <v>320</v>
      </c>
      <c r="AB40" s="4">
        <v>389</v>
      </c>
      <c r="AC40" s="4">
        <v>130</v>
      </c>
      <c r="AD40" s="6">
        <f t="shared" si="1"/>
        <v>925</v>
      </c>
    </row>
    <row r="41" spans="1:30">
      <c r="A41" s="4">
        <v>4.0999999999999996</v>
      </c>
      <c r="B41" s="4">
        <v>1025</v>
      </c>
      <c r="C41" s="4">
        <v>2050</v>
      </c>
      <c r="D41" s="4"/>
      <c r="E41" s="6">
        <v>773</v>
      </c>
      <c r="F41" s="4"/>
      <c r="G41" s="4">
        <v>1073</v>
      </c>
      <c r="H41" s="4">
        <v>1097</v>
      </c>
      <c r="I41" s="4">
        <v>1021</v>
      </c>
      <c r="J41" s="4">
        <v>1139</v>
      </c>
      <c r="K41" s="4"/>
      <c r="L41" s="4"/>
      <c r="M41" s="4"/>
      <c r="N41" s="4">
        <v>1171</v>
      </c>
      <c r="O41" s="4">
        <v>950</v>
      </c>
      <c r="P41" s="4">
        <v>939</v>
      </c>
      <c r="Q41" s="4">
        <v>1112</v>
      </c>
      <c r="R41" s="4"/>
      <c r="S41" s="4">
        <v>1126</v>
      </c>
      <c r="T41" s="4">
        <v>1178</v>
      </c>
      <c r="U41" s="4">
        <v>2995</v>
      </c>
      <c r="V41" s="4">
        <v>285</v>
      </c>
      <c r="W41" s="6">
        <f t="shared" si="0"/>
        <v>12837.837837837838</v>
      </c>
      <c r="X41" s="4">
        <v>1584</v>
      </c>
      <c r="Y41" s="4">
        <v>2319</v>
      </c>
      <c r="Z41" s="6">
        <v>2319</v>
      </c>
      <c r="AA41" s="4">
        <v>320</v>
      </c>
      <c r="AB41" s="4">
        <v>389</v>
      </c>
      <c r="AC41" s="4">
        <v>130</v>
      </c>
      <c r="AD41" s="6">
        <f t="shared" si="1"/>
        <v>942</v>
      </c>
    </row>
    <row r="42" spans="1:30">
      <c r="A42" s="4">
        <v>4.2</v>
      </c>
      <c r="B42" s="4">
        <v>1050</v>
      </c>
      <c r="C42" s="4">
        <v>2100</v>
      </c>
      <c r="D42" s="4"/>
      <c r="E42" s="4">
        <v>827</v>
      </c>
      <c r="F42" s="6">
        <v>713</v>
      </c>
      <c r="G42" s="4">
        <v>1107</v>
      </c>
      <c r="H42" s="4">
        <v>1131</v>
      </c>
      <c r="I42" s="4">
        <v>1056</v>
      </c>
      <c r="J42" s="4">
        <v>1175</v>
      </c>
      <c r="K42" s="4"/>
      <c r="L42" s="4"/>
      <c r="M42" s="4"/>
      <c r="N42" s="4">
        <v>1209</v>
      </c>
      <c r="O42" s="4">
        <v>982</v>
      </c>
      <c r="P42" s="4">
        <v>972</v>
      </c>
      <c r="Q42" s="4">
        <v>1158</v>
      </c>
      <c r="R42" s="4"/>
      <c r="S42" s="4">
        <v>1171</v>
      </c>
      <c r="T42" s="4">
        <v>1215</v>
      </c>
      <c r="U42" s="4">
        <v>2349</v>
      </c>
      <c r="V42" s="4">
        <v>263</v>
      </c>
      <c r="W42" s="6">
        <f t="shared" si="0"/>
        <v>11846.846846846847</v>
      </c>
      <c r="X42" s="4">
        <v>1463</v>
      </c>
      <c r="Y42" s="4">
        <v>1823</v>
      </c>
      <c r="Z42" s="6">
        <v>1823</v>
      </c>
      <c r="AA42" s="4">
        <v>320</v>
      </c>
      <c r="AB42" s="4">
        <v>389</v>
      </c>
      <c r="AC42" s="4">
        <v>130</v>
      </c>
      <c r="AD42" s="6">
        <f t="shared" si="1"/>
        <v>1538</v>
      </c>
    </row>
    <row r="43" spans="1:30">
      <c r="A43" s="4">
        <v>4.3</v>
      </c>
      <c r="B43" s="4">
        <v>1075</v>
      </c>
      <c r="C43" s="4">
        <v>2150</v>
      </c>
      <c r="D43" s="4"/>
      <c r="E43" s="4">
        <v>882</v>
      </c>
      <c r="F43" s="6">
        <v>752</v>
      </c>
      <c r="G43" s="4">
        <v>1142</v>
      </c>
      <c r="H43" s="4">
        <v>1166</v>
      </c>
      <c r="I43" s="4">
        <v>1093</v>
      </c>
      <c r="J43" s="4">
        <v>1211</v>
      </c>
      <c r="K43" s="4"/>
      <c r="L43" s="4"/>
      <c r="M43" s="4"/>
      <c r="N43" s="4">
        <v>1247</v>
      </c>
      <c r="O43" s="4">
        <v>1014</v>
      </c>
      <c r="P43" s="4"/>
      <c r="Q43" s="4"/>
      <c r="R43" s="4"/>
      <c r="S43" s="4">
        <v>1216</v>
      </c>
      <c r="T43" s="4">
        <v>1252</v>
      </c>
      <c r="U43" s="4">
        <v>2427</v>
      </c>
      <c r="V43" s="4">
        <v>277</v>
      </c>
      <c r="W43" s="6">
        <f t="shared" si="0"/>
        <v>12477.477477477478</v>
      </c>
      <c r="X43" s="4">
        <v>1541</v>
      </c>
      <c r="Y43" s="4">
        <v>1883</v>
      </c>
      <c r="Z43" s="6">
        <v>1883</v>
      </c>
      <c r="AA43" s="4">
        <v>320</v>
      </c>
      <c r="AB43" s="4">
        <v>389</v>
      </c>
      <c r="AC43" s="4">
        <v>130</v>
      </c>
      <c r="AD43" s="6">
        <f t="shared" si="1"/>
        <v>1578</v>
      </c>
    </row>
    <row r="44" spans="1:30">
      <c r="A44" s="4">
        <v>4.4000000000000004</v>
      </c>
      <c r="B44" s="4">
        <v>1100</v>
      </c>
      <c r="C44" s="4">
        <v>2200</v>
      </c>
      <c r="D44" s="4"/>
      <c r="E44" s="4">
        <v>936</v>
      </c>
      <c r="F44" s="6">
        <v>791</v>
      </c>
      <c r="G44" s="4">
        <v>1177</v>
      </c>
      <c r="H44" s="4">
        <v>1201</v>
      </c>
      <c r="I44" s="4">
        <v>1129</v>
      </c>
      <c r="J44" s="4">
        <v>1248</v>
      </c>
      <c r="K44" s="4"/>
      <c r="L44" s="4"/>
      <c r="M44" s="4"/>
      <c r="N44" s="4">
        <v>1285</v>
      </c>
      <c r="O44" s="4">
        <v>1046</v>
      </c>
      <c r="P44" s="4"/>
      <c r="Q44" s="4"/>
      <c r="R44" s="4"/>
      <c r="S44" s="4">
        <v>1262</v>
      </c>
      <c r="T44" s="4">
        <v>1291</v>
      </c>
      <c r="U44" s="4">
        <v>2505</v>
      </c>
      <c r="V44" s="4">
        <v>291</v>
      </c>
      <c r="W44" s="6">
        <f t="shared" si="0"/>
        <v>13108.108108108108</v>
      </c>
      <c r="X44" s="4">
        <v>1619</v>
      </c>
      <c r="Y44" s="4">
        <v>1942</v>
      </c>
      <c r="Z44" s="6">
        <v>1942</v>
      </c>
      <c r="AA44" s="4">
        <v>320</v>
      </c>
      <c r="AB44" s="4">
        <v>389</v>
      </c>
      <c r="AC44" s="4">
        <v>130</v>
      </c>
      <c r="AD44" s="6">
        <f t="shared" si="1"/>
        <v>1619</v>
      </c>
    </row>
    <row r="45" spans="1:30">
      <c r="A45" s="4">
        <v>4.5</v>
      </c>
      <c r="B45" s="4">
        <v>1125</v>
      </c>
      <c r="C45" s="4">
        <v>2250</v>
      </c>
      <c r="D45" s="4"/>
      <c r="E45" s="4">
        <v>990</v>
      </c>
      <c r="F45" s="6">
        <v>830</v>
      </c>
      <c r="G45" s="4">
        <v>1211</v>
      </c>
      <c r="H45" s="4">
        <v>1235</v>
      </c>
      <c r="I45" s="4">
        <v>1165</v>
      </c>
      <c r="J45" s="4">
        <v>1284</v>
      </c>
      <c r="K45" s="4"/>
      <c r="L45" s="4"/>
      <c r="M45" s="4"/>
      <c r="N45" s="4">
        <v>1323</v>
      </c>
      <c r="O45" s="4">
        <v>1078</v>
      </c>
      <c r="P45" s="4"/>
      <c r="Q45" s="4"/>
      <c r="R45" s="4"/>
      <c r="S45" s="4">
        <v>1307</v>
      </c>
      <c r="T45" s="4">
        <v>1336</v>
      </c>
      <c r="U45" s="4">
        <v>2583</v>
      </c>
      <c r="V45" s="4">
        <v>305</v>
      </c>
      <c r="W45" s="6">
        <f t="shared" si="0"/>
        <v>13738.738738738739</v>
      </c>
      <c r="X45" s="4">
        <v>1696</v>
      </c>
      <c r="Y45" s="4">
        <v>2002</v>
      </c>
      <c r="Z45" s="6">
        <v>2002</v>
      </c>
      <c r="AA45" s="4">
        <v>320</v>
      </c>
      <c r="AB45" s="4">
        <v>389</v>
      </c>
      <c r="AC45" s="4">
        <v>130</v>
      </c>
      <c r="AD45" s="6">
        <f t="shared" si="1"/>
        <v>1659</v>
      </c>
    </row>
    <row r="46" spans="1:30">
      <c r="A46" s="4">
        <v>4.5999999999999996</v>
      </c>
      <c r="B46" s="4">
        <v>1150</v>
      </c>
      <c r="C46" s="4">
        <v>2300</v>
      </c>
      <c r="D46" s="4"/>
      <c r="E46" s="4">
        <v>1044</v>
      </c>
      <c r="F46" s="6">
        <v>869</v>
      </c>
      <c r="G46" s="4">
        <v>1254</v>
      </c>
      <c r="H46" s="4">
        <v>1270</v>
      </c>
      <c r="I46" s="4">
        <v>1202</v>
      </c>
      <c r="J46" s="4">
        <v>1321</v>
      </c>
      <c r="K46" s="4"/>
      <c r="L46" s="4"/>
      <c r="M46" s="4"/>
      <c r="N46" s="4">
        <v>1360</v>
      </c>
      <c r="O46" s="4">
        <v>1119</v>
      </c>
      <c r="P46" s="4"/>
      <c r="Q46" s="4"/>
      <c r="R46" s="4"/>
      <c r="S46" s="4">
        <v>1353</v>
      </c>
      <c r="T46" s="4">
        <v>1382</v>
      </c>
      <c r="U46" s="4">
        <v>2661</v>
      </c>
      <c r="V46" s="4">
        <v>319</v>
      </c>
      <c r="W46" s="6">
        <f t="shared" si="0"/>
        <v>14369.369369369369</v>
      </c>
      <c r="X46" s="4">
        <v>1774</v>
      </c>
      <c r="Y46" s="4">
        <v>2062</v>
      </c>
      <c r="Z46" s="6">
        <v>2062</v>
      </c>
      <c r="AA46" s="4">
        <v>320</v>
      </c>
      <c r="AB46" s="4">
        <v>389</v>
      </c>
      <c r="AC46" s="4">
        <v>130</v>
      </c>
      <c r="AD46" s="6">
        <f t="shared" si="1"/>
        <v>1699</v>
      </c>
    </row>
    <row r="47" spans="1:30">
      <c r="A47" s="4">
        <v>4.7</v>
      </c>
      <c r="B47" s="4">
        <v>1175</v>
      </c>
      <c r="C47" s="4">
        <v>2350</v>
      </c>
      <c r="D47" s="4"/>
      <c r="E47" s="4">
        <v>1098</v>
      </c>
      <c r="F47" s="6">
        <v>908</v>
      </c>
      <c r="G47" s="4">
        <v>1298</v>
      </c>
      <c r="H47" s="4">
        <v>1305</v>
      </c>
      <c r="I47" s="4"/>
      <c r="J47" s="4">
        <v>1357</v>
      </c>
      <c r="K47" s="4"/>
      <c r="L47" s="4"/>
      <c r="M47" s="4"/>
      <c r="N47" s="4"/>
      <c r="O47" s="4">
        <v>1164</v>
      </c>
      <c r="P47" s="4"/>
      <c r="Q47" s="4"/>
      <c r="R47" s="4"/>
      <c r="S47" s="4">
        <v>1398</v>
      </c>
      <c r="T47" s="4">
        <v>1427</v>
      </c>
      <c r="U47" s="4">
        <v>2739</v>
      </c>
      <c r="V47" s="4">
        <v>333</v>
      </c>
      <c r="W47" s="6">
        <f t="shared" si="0"/>
        <v>15000</v>
      </c>
      <c r="X47" s="4">
        <v>1852</v>
      </c>
      <c r="Y47" s="4">
        <v>2122</v>
      </c>
      <c r="Z47" s="6">
        <v>2122</v>
      </c>
      <c r="AA47" s="4">
        <v>320</v>
      </c>
      <c r="AB47" s="4">
        <v>389</v>
      </c>
      <c r="AC47" s="4">
        <v>130</v>
      </c>
      <c r="AD47" s="6">
        <f t="shared" si="1"/>
        <v>1739</v>
      </c>
    </row>
    <row r="48" spans="1:30">
      <c r="A48" s="4">
        <v>4.8</v>
      </c>
      <c r="B48" s="4">
        <v>1200</v>
      </c>
      <c r="C48" s="4">
        <v>2400</v>
      </c>
      <c r="D48" s="4"/>
      <c r="E48" s="4">
        <v>1153</v>
      </c>
      <c r="F48" s="6">
        <v>947</v>
      </c>
      <c r="G48" s="4">
        <v>1342</v>
      </c>
      <c r="H48" s="4">
        <v>1339</v>
      </c>
      <c r="I48" s="4"/>
      <c r="J48" s="4">
        <v>1394</v>
      </c>
      <c r="K48" s="4"/>
      <c r="L48" s="4"/>
      <c r="M48" s="4"/>
      <c r="N48" s="4"/>
      <c r="O48" s="4"/>
      <c r="P48" s="4"/>
      <c r="Q48" s="4"/>
      <c r="R48" s="4"/>
      <c r="S48" s="4">
        <v>1444</v>
      </c>
      <c r="T48" s="4">
        <v>1472</v>
      </c>
      <c r="U48" s="4">
        <v>2817</v>
      </c>
      <c r="V48" s="4">
        <v>347</v>
      </c>
      <c r="W48" s="6">
        <f t="shared" si="0"/>
        <v>15630.630630630631</v>
      </c>
      <c r="X48" s="4">
        <v>1930</v>
      </c>
      <c r="Y48" s="4">
        <v>2182</v>
      </c>
      <c r="Z48" s="6">
        <v>2182</v>
      </c>
      <c r="AA48" s="4">
        <v>320</v>
      </c>
      <c r="AB48" s="4">
        <v>389</v>
      </c>
      <c r="AC48" s="4">
        <v>130</v>
      </c>
      <c r="AD48" s="6">
        <f t="shared" si="1"/>
        <v>1779</v>
      </c>
    </row>
    <row r="49" spans="1:30">
      <c r="A49" s="4">
        <v>4.9000000000000004</v>
      </c>
      <c r="B49" s="4">
        <v>1225</v>
      </c>
      <c r="C49" s="4">
        <v>2450</v>
      </c>
      <c r="D49" s="4"/>
      <c r="E49" s="4"/>
      <c r="F49" s="6">
        <v>985</v>
      </c>
      <c r="G49" s="4">
        <v>1386</v>
      </c>
      <c r="H49" s="4">
        <v>1374</v>
      </c>
      <c r="I49" s="4"/>
      <c r="J49" s="4">
        <v>1431</v>
      </c>
      <c r="K49" s="4"/>
      <c r="L49" s="4"/>
      <c r="M49" s="4"/>
      <c r="N49" s="4"/>
      <c r="O49" s="4"/>
      <c r="P49" s="4"/>
      <c r="Q49" s="4"/>
      <c r="R49" s="4"/>
      <c r="S49" s="4">
        <v>1490</v>
      </c>
      <c r="T49" s="4">
        <v>1517</v>
      </c>
      <c r="U49" s="4">
        <v>2895</v>
      </c>
      <c r="V49" s="4">
        <v>361</v>
      </c>
      <c r="W49" s="6">
        <f t="shared" si="0"/>
        <v>16261.261261261261</v>
      </c>
      <c r="X49" s="4">
        <v>2008</v>
      </c>
      <c r="Y49" s="4">
        <v>2242</v>
      </c>
      <c r="Z49" s="6">
        <v>2242</v>
      </c>
      <c r="AA49" s="4">
        <v>320</v>
      </c>
      <c r="AB49" s="4">
        <v>389</v>
      </c>
      <c r="AC49" s="4">
        <v>130</v>
      </c>
      <c r="AD49" s="6">
        <f t="shared" si="1"/>
        <v>1819</v>
      </c>
    </row>
    <row r="50" spans="1:30">
      <c r="A50" s="4">
        <v>5</v>
      </c>
      <c r="B50" s="4">
        <v>1250</v>
      </c>
      <c r="C50" s="4">
        <v>2500</v>
      </c>
      <c r="D50" s="4"/>
      <c r="E50" s="4"/>
      <c r="F50" s="6">
        <v>1024</v>
      </c>
      <c r="G50" s="4">
        <v>1431</v>
      </c>
      <c r="H50" s="4">
        <v>1417</v>
      </c>
      <c r="I50" s="4"/>
      <c r="J50" s="4">
        <v>1474</v>
      </c>
      <c r="K50" s="4"/>
      <c r="L50" s="4"/>
      <c r="M50" s="4"/>
      <c r="N50" s="4"/>
      <c r="O50" s="4"/>
      <c r="P50" s="4"/>
      <c r="Q50" s="4"/>
      <c r="R50" s="4"/>
      <c r="S50" s="4"/>
      <c r="T50" s="4">
        <v>1562</v>
      </c>
      <c r="U50" s="4">
        <v>2973</v>
      </c>
      <c r="V50" s="4">
        <v>375</v>
      </c>
      <c r="W50" s="6">
        <f t="shared" si="0"/>
        <v>16891.89189189189</v>
      </c>
      <c r="X50" s="4">
        <v>2085</v>
      </c>
      <c r="Y50" s="4">
        <v>2302</v>
      </c>
      <c r="Z50" s="6">
        <v>2302</v>
      </c>
      <c r="AA50" s="4">
        <v>320</v>
      </c>
      <c r="AB50" s="4">
        <v>389</v>
      </c>
      <c r="AC50" s="4">
        <v>130</v>
      </c>
      <c r="AD50" s="6">
        <f t="shared" si="1"/>
        <v>1859</v>
      </c>
    </row>
    <row r="51" spans="1:30">
      <c r="A51" s="4">
        <v>5.0999999999999996</v>
      </c>
      <c r="B51" s="4">
        <v>1275</v>
      </c>
      <c r="C51" s="4">
        <v>2550</v>
      </c>
      <c r="D51" s="4"/>
      <c r="E51" s="4"/>
      <c r="F51" s="6">
        <v>1063</v>
      </c>
      <c r="G51" s="4"/>
      <c r="H51" s="4">
        <v>1462</v>
      </c>
      <c r="I51" s="4"/>
      <c r="J51" s="4">
        <v>1516</v>
      </c>
      <c r="K51" s="4"/>
      <c r="L51" s="4"/>
      <c r="M51" s="4"/>
      <c r="N51" s="4"/>
      <c r="O51" s="4"/>
      <c r="P51" s="4"/>
      <c r="Q51" s="4"/>
      <c r="R51" s="4"/>
      <c r="S51" s="4"/>
      <c r="T51" s="4">
        <v>1608</v>
      </c>
      <c r="U51" s="4">
        <v>3051</v>
      </c>
      <c r="V51" s="4">
        <v>389</v>
      </c>
      <c r="W51" s="6">
        <f t="shared" si="0"/>
        <v>17522.522522522522</v>
      </c>
      <c r="X51" s="4">
        <v>2163</v>
      </c>
      <c r="Y51" s="4">
        <v>2362</v>
      </c>
      <c r="Z51" s="6">
        <v>2362</v>
      </c>
      <c r="AA51" s="4">
        <v>320</v>
      </c>
      <c r="AB51" s="4">
        <v>389</v>
      </c>
      <c r="AC51" s="4">
        <v>130</v>
      </c>
      <c r="AD51" s="6">
        <f t="shared" si="1"/>
        <v>1899</v>
      </c>
    </row>
    <row r="52" spans="1:30">
      <c r="A52" s="4">
        <v>5.2</v>
      </c>
      <c r="B52" s="4">
        <v>1300</v>
      </c>
      <c r="C52" s="4">
        <v>2600</v>
      </c>
      <c r="D52" s="4"/>
      <c r="E52" s="4"/>
      <c r="F52" s="6">
        <v>1102</v>
      </c>
      <c r="G52" s="4"/>
      <c r="H52" s="4"/>
      <c r="I52" s="4"/>
      <c r="J52" s="4">
        <v>1558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>
        <v>3129</v>
      </c>
      <c r="V52" s="4">
        <v>403</v>
      </c>
      <c r="W52" s="6">
        <f t="shared" si="0"/>
        <v>18153.153153153151</v>
      </c>
      <c r="X52" s="4">
        <v>2241</v>
      </c>
      <c r="Y52" s="4">
        <v>2422</v>
      </c>
      <c r="Z52" s="6">
        <v>2422</v>
      </c>
      <c r="AA52" s="4">
        <v>320</v>
      </c>
      <c r="AB52" s="4">
        <v>389</v>
      </c>
      <c r="AC52" s="4">
        <v>130</v>
      </c>
      <c r="AD52" s="6">
        <f t="shared" si="1"/>
        <v>1939</v>
      </c>
    </row>
    <row r="53" spans="1:30">
      <c r="A53" s="4">
        <v>5.3</v>
      </c>
      <c r="B53" s="4">
        <v>1325</v>
      </c>
      <c r="C53" s="4">
        <v>2650</v>
      </c>
      <c r="D53" s="4"/>
      <c r="E53" s="4"/>
      <c r="F53" s="6">
        <v>1141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>
        <v>3207</v>
      </c>
      <c r="V53" s="4">
        <v>417</v>
      </c>
      <c r="W53" s="6">
        <f t="shared" si="0"/>
        <v>18783.783783783787</v>
      </c>
      <c r="X53" s="4">
        <v>2319</v>
      </c>
      <c r="Y53" s="4">
        <v>2482</v>
      </c>
      <c r="Z53" s="6">
        <v>2482</v>
      </c>
      <c r="AA53" s="4">
        <v>320</v>
      </c>
      <c r="AB53" s="4">
        <v>389</v>
      </c>
      <c r="AC53" s="4">
        <v>130</v>
      </c>
      <c r="AD53" s="6">
        <f t="shared" si="1"/>
        <v>1979</v>
      </c>
    </row>
    <row r="54" spans="1:30">
      <c r="A54" s="4">
        <v>5.4</v>
      </c>
      <c r="B54" s="4">
        <v>1350</v>
      </c>
      <c r="C54" s="4">
        <v>2700</v>
      </c>
      <c r="D54" s="4"/>
      <c r="E54" s="4"/>
      <c r="F54" s="6">
        <v>1180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>
        <v>3285</v>
      </c>
      <c r="V54" s="4">
        <v>431</v>
      </c>
      <c r="W54" s="6">
        <f t="shared" si="0"/>
        <v>19414.414414414416</v>
      </c>
      <c r="X54" s="4">
        <v>2396</v>
      </c>
      <c r="Y54" s="4">
        <v>2542</v>
      </c>
      <c r="Z54" s="6">
        <v>2542</v>
      </c>
      <c r="AA54" s="4">
        <v>320</v>
      </c>
      <c r="AB54" s="4">
        <v>389</v>
      </c>
      <c r="AC54" s="4">
        <v>130</v>
      </c>
      <c r="AD54" s="6">
        <f t="shared" si="1"/>
        <v>2019</v>
      </c>
    </row>
    <row r="55" spans="1:30">
      <c r="A55" s="11">
        <v>5.5</v>
      </c>
      <c r="B55" s="11">
        <v>1375</v>
      </c>
      <c r="C55" s="11">
        <v>2750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>
      <c r="A56" s="11">
        <v>5.6</v>
      </c>
      <c r="B56" s="11">
        <v>1400</v>
      </c>
      <c r="C56" s="11">
        <v>2800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mergeCells count="3">
    <mergeCell ref="D12:F12"/>
    <mergeCell ref="G12:T12"/>
    <mergeCell ref="U12:AD1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31"/>
  <sheetViews>
    <sheetView workbookViewId="0"/>
  </sheetViews>
  <sheetFormatPr defaultColWidth="12.5703125" defaultRowHeight="15.75" customHeight="1"/>
  <cols>
    <col min="1" max="1" width="92.42578125" customWidth="1"/>
  </cols>
  <sheetData>
    <row r="1" spans="1:1">
      <c r="A1" s="2" t="s">
        <v>47</v>
      </c>
    </row>
    <row r="2" spans="1:1">
      <c r="A2" s="2" t="s">
        <v>47</v>
      </c>
    </row>
    <row r="3" spans="1:1">
      <c r="A3" s="2" t="s">
        <v>47</v>
      </c>
    </row>
    <row r="4" spans="1:1">
      <c r="A4" s="2" t="s">
        <v>47</v>
      </c>
    </row>
    <row r="5" spans="1:1">
      <c r="A5" s="2" t="s">
        <v>47</v>
      </c>
    </row>
    <row r="6" spans="1:1">
      <c r="A6" s="2" t="s">
        <v>47</v>
      </c>
    </row>
    <row r="7" spans="1:1">
      <c r="A7" s="2" t="s">
        <v>47</v>
      </c>
    </row>
    <row r="8" spans="1:1">
      <c r="A8" s="2" t="s">
        <v>47</v>
      </c>
    </row>
    <row r="9" spans="1:1">
      <c r="A9" s="2" t="s">
        <v>48</v>
      </c>
    </row>
    <row r="10" spans="1:1">
      <c r="A10" s="2" t="s">
        <v>48</v>
      </c>
    </row>
    <row r="11" spans="1:1">
      <c r="A11" s="2" t="s">
        <v>48</v>
      </c>
    </row>
    <row r="12" spans="1:1">
      <c r="A12" s="2" t="s">
        <v>48</v>
      </c>
    </row>
    <row r="13" spans="1:1">
      <c r="A13" s="2" t="s">
        <v>48</v>
      </c>
    </row>
    <row r="14" spans="1:1">
      <c r="A14" s="2" t="s">
        <v>48</v>
      </c>
    </row>
    <row r="15" spans="1:1">
      <c r="A15" s="2" t="s">
        <v>48</v>
      </c>
    </row>
    <row r="16" spans="1:1">
      <c r="A16" s="2" t="s">
        <v>48</v>
      </c>
    </row>
    <row r="17" spans="1:1">
      <c r="A17" s="2" t="s">
        <v>48</v>
      </c>
    </row>
    <row r="18" spans="1:1">
      <c r="A18" s="2" t="s">
        <v>48</v>
      </c>
    </row>
    <row r="19" spans="1:1">
      <c r="A19" s="2" t="s">
        <v>48</v>
      </c>
    </row>
    <row r="20" spans="1:1">
      <c r="A20" s="2" t="s">
        <v>48</v>
      </c>
    </row>
    <row r="21" spans="1:1">
      <c r="A21" s="2" t="s">
        <v>48</v>
      </c>
    </row>
    <row r="22" spans="1:1">
      <c r="A22" s="2" t="s">
        <v>48</v>
      </c>
    </row>
    <row r="23" spans="1:1">
      <c r="A23" s="2" t="s">
        <v>48</v>
      </c>
    </row>
    <row r="24" spans="1:1">
      <c r="A24" s="2" t="s">
        <v>48</v>
      </c>
    </row>
    <row r="25" spans="1:1">
      <c r="A25" s="2" t="s">
        <v>49</v>
      </c>
    </row>
    <row r="26" spans="1:1">
      <c r="A26" s="2" t="s">
        <v>49</v>
      </c>
    </row>
    <row r="27" spans="1:1">
      <c r="A27" s="2" t="s">
        <v>49</v>
      </c>
    </row>
    <row r="28" spans="1:1">
      <c r="A28" s="2" t="s">
        <v>49</v>
      </c>
    </row>
    <row r="29" spans="1:1">
      <c r="A29" s="2" t="s">
        <v>49</v>
      </c>
    </row>
    <row r="30" spans="1:1">
      <c r="A30" s="2" t="s">
        <v>49</v>
      </c>
    </row>
    <row r="31" spans="1:1">
      <c r="A31" s="2" t="s">
        <v>49</v>
      </c>
    </row>
    <row r="32" spans="1:1">
      <c r="A32" s="2" t="s">
        <v>49</v>
      </c>
    </row>
    <row r="33" spans="1:1">
      <c r="A33" s="2" t="s">
        <v>49</v>
      </c>
    </row>
    <row r="34" spans="1:1">
      <c r="A34" s="2" t="s">
        <v>49</v>
      </c>
    </row>
    <row r="35" spans="1:1">
      <c r="A35" s="2" t="s">
        <v>49</v>
      </c>
    </row>
    <row r="36" spans="1:1">
      <c r="A36" s="2" t="s">
        <v>49</v>
      </c>
    </row>
    <row r="37" spans="1:1">
      <c r="A37" s="2" t="s">
        <v>49</v>
      </c>
    </row>
    <row r="38" spans="1:1">
      <c r="A38" s="2" t="s">
        <v>49</v>
      </c>
    </row>
    <row r="39" spans="1:1">
      <c r="A39" s="2" t="s">
        <v>49</v>
      </c>
    </row>
    <row r="40" spans="1:1">
      <c r="A40" s="2" t="s">
        <v>49</v>
      </c>
    </row>
    <row r="41" spans="1:1">
      <c r="A41" s="2" t="s">
        <v>50</v>
      </c>
    </row>
    <row r="42" spans="1:1">
      <c r="A42" s="2" t="s">
        <v>50</v>
      </c>
    </row>
    <row r="43" spans="1:1">
      <c r="A43" s="2" t="s">
        <v>50</v>
      </c>
    </row>
    <row r="44" spans="1:1">
      <c r="A44" s="2" t="s">
        <v>50</v>
      </c>
    </row>
    <row r="45" spans="1:1">
      <c r="A45" s="2" t="s">
        <v>50</v>
      </c>
    </row>
    <row r="46" spans="1:1">
      <c r="A46" s="2" t="s">
        <v>50</v>
      </c>
    </row>
    <row r="47" spans="1:1">
      <c r="A47" s="2" t="s">
        <v>50</v>
      </c>
    </row>
    <row r="48" spans="1:1">
      <c r="A48" s="2" t="s">
        <v>50</v>
      </c>
    </row>
    <row r="49" spans="1:1">
      <c r="A49" s="2" t="s">
        <v>50</v>
      </c>
    </row>
    <row r="50" spans="1:1">
      <c r="A50" s="2" t="s">
        <v>50</v>
      </c>
    </row>
    <row r="51" spans="1:1">
      <c r="A51" s="2" t="s">
        <v>50</v>
      </c>
    </row>
    <row r="52" spans="1:1">
      <c r="A52" s="2" t="s">
        <v>50</v>
      </c>
    </row>
    <row r="53" spans="1:1">
      <c r="A53" s="2" t="s">
        <v>50</v>
      </c>
    </row>
    <row r="54" spans="1:1">
      <c r="A54" s="2" t="s">
        <v>50</v>
      </c>
    </row>
    <row r="55" spans="1:1">
      <c r="A55" s="2" t="s">
        <v>50</v>
      </c>
    </row>
    <row r="56" spans="1:1">
      <c r="A56" s="2" t="s">
        <v>50</v>
      </c>
    </row>
    <row r="57" spans="1:1">
      <c r="A57" s="2" t="s">
        <v>50</v>
      </c>
    </row>
    <row r="58" spans="1:1">
      <c r="A58" s="2" t="s">
        <v>50</v>
      </c>
    </row>
    <row r="59" spans="1:1">
      <c r="A59" s="2" t="s">
        <v>50</v>
      </c>
    </row>
    <row r="60" spans="1:1">
      <c r="A60" s="2" t="s">
        <v>50</v>
      </c>
    </row>
    <row r="61" spans="1:1">
      <c r="A61" s="2" t="s">
        <v>50</v>
      </c>
    </row>
    <row r="62" spans="1:1">
      <c r="A62" s="2" t="s">
        <v>51</v>
      </c>
    </row>
    <row r="63" spans="1:1">
      <c r="A63" s="2" t="s">
        <v>51</v>
      </c>
    </row>
    <row r="64" spans="1:1">
      <c r="A64" s="2" t="s">
        <v>51</v>
      </c>
    </row>
    <row r="65" spans="1:1">
      <c r="A65" s="2" t="s">
        <v>51</v>
      </c>
    </row>
    <row r="66" spans="1:1">
      <c r="A66" s="2" t="s">
        <v>52</v>
      </c>
    </row>
    <row r="67" spans="1:1">
      <c r="A67" s="2" t="s">
        <v>52</v>
      </c>
    </row>
    <row r="68" spans="1:1">
      <c r="A68" s="2" t="s">
        <v>52</v>
      </c>
    </row>
    <row r="69" spans="1:1">
      <c r="A69" s="2" t="s">
        <v>52</v>
      </c>
    </row>
    <row r="70" spans="1:1">
      <c r="A70" s="2" t="s">
        <v>52</v>
      </c>
    </row>
    <row r="71" spans="1:1">
      <c r="A71" s="2" t="s">
        <v>52</v>
      </c>
    </row>
    <row r="72" spans="1:1">
      <c r="A72" s="2" t="s">
        <v>52</v>
      </c>
    </row>
    <row r="73" spans="1:1">
      <c r="A73" s="2" t="s">
        <v>52</v>
      </c>
    </row>
    <row r="74" spans="1:1">
      <c r="A74" s="2" t="s">
        <v>53</v>
      </c>
    </row>
    <row r="75" spans="1:1">
      <c r="A75" s="2" t="s">
        <v>53</v>
      </c>
    </row>
    <row r="76" spans="1:1">
      <c r="A76" s="2" t="s">
        <v>53</v>
      </c>
    </row>
    <row r="77" spans="1:1">
      <c r="A77" s="2" t="s">
        <v>53</v>
      </c>
    </row>
    <row r="78" spans="1:1">
      <c r="A78" s="2" t="s">
        <v>53</v>
      </c>
    </row>
    <row r="79" spans="1:1">
      <c r="A79" s="2" t="s">
        <v>53</v>
      </c>
    </row>
    <row r="80" spans="1:1">
      <c r="A80" s="2" t="s">
        <v>53</v>
      </c>
    </row>
    <row r="81" spans="1:1">
      <c r="A81" s="2" t="s">
        <v>53</v>
      </c>
    </row>
    <row r="82" spans="1:1">
      <c r="A82" s="2" t="s">
        <v>53</v>
      </c>
    </row>
    <row r="83" spans="1:1">
      <c r="A83" s="2" t="s">
        <v>53</v>
      </c>
    </row>
    <row r="84" spans="1:1">
      <c r="A84" s="2" t="s">
        <v>53</v>
      </c>
    </row>
    <row r="85" spans="1:1">
      <c r="A85" s="2" t="s">
        <v>53</v>
      </c>
    </row>
    <row r="86" spans="1:1">
      <c r="A86" s="2" t="s">
        <v>53</v>
      </c>
    </row>
    <row r="87" spans="1:1">
      <c r="A87" s="2" t="s">
        <v>53</v>
      </c>
    </row>
    <row r="88" spans="1:1">
      <c r="A88" s="2" t="s">
        <v>53</v>
      </c>
    </row>
    <row r="89" spans="1:1">
      <c r="A89" s="2" t="s">
        <v>53</v>
      </c>
    </row>
    <row r="90" spans="1:1">
      <c r="A90" s="2" t="s">
        <v>53</v>
      </c>
    </row>
    <row r="91" spans="1:1">
      <c r="A91" s="2" t="s">
        <v>53</v>
      </c>
    </row>
    <row r="92" spans="1:1">
      <c r="A92" s="2" t="s">
        <v>53</v>
      </c>
    </row>
    <row r="93" spans="1:1">
      <c r="A93" s="2" t="s">
        <v>53</v>
      </c>
    </row>
    <row r="94" spans="1:1">
      <c r="A94" s="2" t="s">
        <v>53</v>
      </c>
    </row>
    <row r="95" spans="1:1">
      <c r="A95" s="2" t="s">
        <v>53</v>
      </c>
    </row>
    <row r="96" spans="1:1">
      <c r="A96" s="2" t="s">
        <v>53</v>
      </c>
    </row>
    <row r="97" spans="1:1">
      <c r="A97" s="2" t="s">
        <v>53</v>
      </c>
    </row>
    <row r="98" spans="1:1">
      <c r="A98" s="2" t="s">
        <v>53</v>
      </c>
    </row>
    <row r="99" spans="1:1">
      <c r="A99" s="2" t="s">
        <v>53</v>
      </c>
    </row>
    <row r="100" spans="1:1">
      <c r="A100" s="2" t="s">
        <v>53</v>
      </c>
    </row>
    <row r="101" spans="1:1">
      <c r="A101" s="2" t="s">
        <v>53</v>
      </c>
    </row>
    <row r="102" spans="1:1">
      <c r="A102" s="2" t="s">
        <v>53</v>
      </c>
    </row>
    <row r="103" spans="1:1">
      <c r="A103" s="2" t="s">
        <v>53</v>
      </c>
    </row>
    <row r="104" spans="1:1">
      <c r="A104" s="2" t="s">
        <v>53</v>
      </c>
    </row>
    <row r="105" spans="1:1">
      <c r="A105" s="2" t="s">
        <v>53</v>
      </c>
    </row>
    <row r="106" spans="1:1">
      <c r="A106" s="2" t="s">
        <v>53</v>
      </c>
    </row>
    <row r="107" spans="1:1">
      <c r="A107" s="2" t="s">
        <v>53</v>
      </c>
    </row>
    <row r="108" spans="1:1">
      <c r="A108" s="2" t="s">
        <v>53</v>
      </c>
    </row>
    <row r="109" spans="1:1">
      <c r="A109" s="2" t="s">
        <v>53</v>
      </c>
    </row>
    <row r="110" spans="1:1">
      <c r="A110" s="2" t="s">
        <v>53</v>
      </c>
    </row>
    <row r="111" spans="1:1">
      <c r="A111" s="2" t="s">
        <v>53</v>
      </c>
    </row>
    <row r="112" spans="1:1">
      <c r="A112" s="2" t="s">
        <v>53</v>
      </c>
    </row>
    <row r="113" spans="1:1">
      <c r="A113" s="2" t="s">
        <v>53</v>
      </c>
    </row>
    <row r="114" spans="1:1">
      <c r="A114" s="2" t="s">
        <v>53</v>
      </c>
    </row>
    <row r="115" spans="1:1">
      <c r="A115" s="2" t="s">
        <v>53</v>
      </c>
    </row>
    <row r="116" spans="1:1">
      <c r="A116" s="2" t="s">
        <v>53</v>
      </c>
    </row>
    <row r="117" spans="1:1">
      <c r="A117" s="2" t="s">
        <v>53</v>
      </c>
    </row>
    <row r="118" spans="1:1">
      <c r="A118" s="2" t="s">
        <v>54</v>
      </c>
    </row>
    <row r="119" spans="1:1">
      <c r="A119" s="2" t="s">
        <v>54</v>
      </c>
    </row>
    <row r="120" spans="1:1">
      <c r="A120" s="2" t="s">
        <v>54</v>
      </c>
    </row>
    <row r="121" spans="1:1">
      <c r="A121" s="2" t="s">
        <v>54</v>
      </c>
    </row>
    <row r="122" spans="1:1">
      <c r="A122" s="2" t="s">
        <v>54</v>
      </c>
    </row>
    <row r="123" spans="1:1">
      <c r="A123" s="2" t="s">
        <v>54</v>
      </c>
    </row>
    <row r="124" spans="1:1">
      <c r="A124" s="2" t="s">
        <v>54</v>
      </c>
    </row>
    <row r="125" spans="1:1">
      <c r="A125" s="2" t="s">
        <v>54</v>
      </c>
    </row>
    <row r="126" spans="1:1">
      <c r="A126" s="2" t="s">
        <v>55</v>
      </c>
    </row>
    <row r="127" spans="1:1">
      <c r="A127" s="2" t="s">
        <v>55</v>
      </c>
    </row>
    <row r="128" spans="1:1">
      <c r="A128" s="2" t="s">
        <v>55</v>
      </c>
    </row>
    <row r="129" spans="1:1">
      <c r="A129" s="2" t="s">
        <v>55</v>
      </c>
    </row>
    <row r="130" spans="1:1">
      <c r="A130" s="2" t="s">
        <v>55</v>
      </c>
    </row>
    <row r="131" spans="1:1">
      <c r="A131" s="2" t="s">
        <v>55</v>
      </c>
    </row>
  </sheetData>
  <hyperlinks>
    <hyperlink ref="A1" r:id="rId1" xr:uid="{00000000-0004-0000-0100-000000000000}"/>
    <hyperlink ref="A2" r:id="rId2" xr:uid="{00000000-0004-0000-0100-000001000000}"/>
    <hyperlink ref="A3" r:id="rId3" xr:uid="{00000000-0004-0000-0100-000002000000}"/>
    <hyperlink ref="A4" r:id="rId4" xr:uid="{00000000-0004-0000-0100-000003000000}"/>
    <hyperlink ref="A5" r:id="rId5" xr:uid="{00000000-0004-0000-0100-000004000000}"/>
    <hyperlink ref="A6" r:id="rId6" xr:uid="{00000000-0004-0000-0100-000005000000}"/>
    <hyperlink ref="A7" r:id="rId7" xr:uid="{00000000-0004-0000-0100-000006000000}"/>
    <hyperlink ref="A8" r:id="rId8" xr:uid="{00000000-0004-0000-0100-000007000000}"/>
    <hyperlink ref="A9" r:id="rId9" xr:uid="{00000000-0004-0000-0100-000008000000}"/>
    <hyperlink ref="A10" r:id="rId10" xr:uid="{00000000-0004-0000-0100-000009000000}"/>
    <hyperlink ref="A11" r:id="rId11" xr:uid="{00000000-0004-0000-0100-00000A000000}"/>
    <hyperlink ref="A12" r:id="rId12" xr:uid="{00000000-0004-0000-0100-00000B000000}"/>
    <hyperlink ref="A13" r:id="rId13" xr:uid="{00000000-0004-0000-0100-00000C000000}"/>
    <hyperlink ref="A14" r:id="rId14" xr:uid="{00000000-0004-0000-0100-00000D000000}"/>
    <hyperlink ref="A15" r:id="rId15" xr:uid="{00000000-0004-0000-0100-00000E000000}"/>
    <hyperlink ref="A16" r:id="rId16" xr:uid="{00000000-0004-0000-0100-00000F000000}"/>
    <hyperlink ref="A17" r:id="rId17" xr:uid="{00000000-0004-0000-0100-000010000000}"/>
    <hyperlink ref="A18" r:id="rId18" xr:uid="{00000000-0004-0000-0100-000011000000}"/>
    <hyperlink ref="A19" r:id="rId19" xr:uid="{00000000-0004-0000-0100-000012000000}"/>
    <hyperlink ref="A20" r:id="rId20" xr:uid="{00000000-0004-0000-0100-000013000000}"/>
    <hyperlink ref="A21" r:id="rId21" xr:uid="{00000000-0004-0000-0100-000014000000}"/>
    <hyperlink ref="A22" r:id="rId22" xr:uid="{00000000-0004-0000-0100-000015000000}"/>
    <hyperlink ref="A23" r:id="rId23" xr:uid="{00000000-0004-0000-0100-000016000000}"/>
    <hyperlink ref="A24" r:id="rId24" xr:uid="{00000000-0004-0000-0100-000017000000}"/>
    <hyperlink ref="A25" r:id="rId25" xr:uid="{00000000-0004-0000-0100-000018000000}"/>
    <hyperlink ref="A26" r:id="rId26" xr:uid="{00000000-0004-0000-0100-000019000000}"/>
    <hyperlink ref="A27" r:id="rId27" xr:uid="{00000000-0004-0000-0100-00001A000000}"/>
    <hyperlink ref="A28" r:id="rId28" xr:uid="{00000000-0004-0000-0100-00001B000000}"/>
    <hyperlink ref="A29" r:id="rId29" xr:uid="{00000000-0004-0000-0100-00001C000000}"/>
    <hyperlink ref="A30" r:id="rId30" xr:uid="{00000000-0004-0000-0100-00001D000000}"/>
    <hyperlink ref="A31" r:id="rId31" xr:uid="{00000000-0004-0000-0100-00001E000000}"/>
    <hyperlink ref="A32" r:id="rId32" xr:uid="{00000000-0004-0000-0100-00001F000000}"/>
    <hyperlink ref="A33" r:id="rId33" xr:uid="{00000000-0004-0000-0100-000020000000}"/>
    <hyperlink ref="A34" r:id="rId34" xr:uid="{00000000-0004-0000-0100-000021000000}"/>
    <hyperlink ref="A35" r:id="rId35" xr:uid="{00000000-0004-0000-0100-000022000000}"/>
    <hyperlink ref="A36" r:id="rId36" xr:uid="{00000000-0004-0000-0100-000023000000}"/>
    <hyperlink ref="A37" r:id="rId37" xr:uid="{00000000-0004-0000-0100-000024000000}"/>
    <hyperlink ref="A38" r:id="rId38" xr:uid="{00000000-0004-0000-0100-000025000000}"/>
    <hyperlink ref="A39" r:id="rId39" xr:uid="{00000000-0004-0000-0100-000026000000}"/>
    <hyperlink ref="A40" r:id="rId40" xr:uid="{00000000-0004-0000-0100-000027000000}"/>
    <hyperlink ref="A41" r:id="rId41" xr:uid="{00000000-0004-0000-0100-000028000000}"/>
    <hyperlink ref="A42" r:id="rId42" xr:uid="{00000000-0004-0000-0100-000029000000}"/>
    <hyperlink ref="A43" r:id="rId43" xr:uid="{00000000-0004-0000-0100-00002A000000}"/>
    <hyperlink ref="A44" r:id="rId44" xr:uid="{00000000-0004-0000-0100-00002B000000}"/>
    <hyperlink ref="A45" r:id="rId45" xr:uid="{00000000-0004-0000-0100-00002C000000}"/>
    <hyperlink ref="A46" r:id="rId46" xr:uid="{00000000-0004-0000-0100-00002D000000}"/>
    <hyperlink ref="A47" r:id="rId47" xr:uid="{00000000-0004-0000-0100-00002E000000}"/>
    <hyperlink ref="A48" r:id="rId48" xr:uid="{00000000-0004-0000-0100-00002F000000}"/>
    <hyperlink ref="A49" r:id="rId49" xr:uid="{00000000-0004-0000-0100-000030000000}"/>
    <hyperlink ref="A50" r:id="rId50" xr:uid="{00000000-0004-0000-0100-000031000000}"/>
    <hyperlink ref="A51" r:id="rId51" xr:uid="{00000000-0004-0000-0100-000032000000}"/>
    <hyperlink ref="A52" r:id="rId52" xr:uid="{00000000-0004-0000-0100-000033000000}"/>
    <hyperlink ref="A53" r:id="rId53" xr:uid="{00000000-0004-0000-0100-000034000000}"/>
    <hyperlink ref="A54" r:id="rId54" xr:uid="{00000000-0004-0000-0100-000035000000}"/>
    <hyperlink ref="A55" r:id="rId55" xr:uid="{00000000-0004-0000-0100-000036000000}"/>
    <hyperlink ref="A56" r:id="rId56" xr:uid="{00000000-0004-0000-0100-000037000000}"/>
    <hyperlink ref="A57" r:id="rId57" xr:uid="{00000000-0004-0000-0100-000038000000}"/>
    <hyperlink ref="A58" r:id="rId58" xr:uid="{00000000-0004-0000-0100-000039000000}"/>
    <hyperlink ref="A59" r:id="rId59" xr:uid="{00000000-0004-0000-0100-00003A000000}"/>
    <hyperlink ref="A60" r:id="rId60" xr:uid="{00000000-0004-0000-0100-00003B000000}"/>
    <hyperlink ref="A61" r:id="rId61" xr:uid="{00000000-0004-0000-0100-00003C000000}"/>
    <hyperlink ref="A62" r:id="rId62" xr:uid="{00000000-0004-0000-0100-00003D000000}"/>
    <hyperlink ref="A63" r:id="rId63" xr:uid="{00000000-0004-0000-0100-00003E000000}"/>
    <hyperlink ref="A64" r:id="rId64" xr:uid="{00000000-0004-0000-0100-00003F000000}"/>
    <hyperlink ref="A65" r:id="rId65" xr:uid="{00000000-0004-0000-0100-000040000000}"/>
    <hyperlink ref="A66" r:id="rId66" xr:uid="{00000000-0004-0000-0100-000041000000}"/>
    <hyperlink ref="A67" r:id="rId67" xr:uid="{00000000-0004-0000-0100-000042000000}"/>
    <hyperlink ref="A68" r:id="rId68" xr:uid="{00000000-0004-0000-0100-000043000000}"/>
    <hyperlink ref="A69" r:id="rId69" xr:uid="{00000000-0004-0000-0100-000044000000}"/>
    <hyperlink ref="A70" r:id="rId70" xr:uid="{00000000-0004-0000-0100-000045000000}"/>
    <hyperlink ref="A71" r:id="rId71" xr:uid="{00000000-0004-0000-0100-000046000000}"/>
    <hyperlink ref="A72" r:id="rId72" xr:uid="{00000000-0004-0000-0100-000047000000}"/>
    <hyperlink ref="A73" r:id="rId73" xr:uid="{00000000-0004-0000-0100-000048000000}"/>
    <hyperlink ref="A74" r:id="rId74" xr:uid="{00000000-0004-0000-0100-000049000000}"/>
    <hyperlink ref="A75" r:id="rId75" xr:uid="{00000000-0004-0000-0100-00004A000000}"/>
    <hyperlink ref="A76" r:id="rId76" xr:uid="{00000000-0004-0000-0100-00004B000000}"/>
    <hyperlink ref="A77" r:id="rId77" xr:uid="{00000000-0004-0000-0100-00004C000000}"/>
    <hyperlink ref="A78" r:id="rId78" xr:uid="{00000000-0004-0000-0100-00004D000000}"/>
    <hyperlink ref="A79" r:id="rId79" xr:uid="{00000000-0004-0000-0100-00004E000000}"/>
    <hyperlink ref="A80" r:id="rId80" xr:uid="{00000000-0004-0000-0100-00004F000000}"/>
    <hyperlink ref="A81" r:id="rId81" xr:uid="{00000000-0004-0000-0100-000050000000}"/>
    <hyperlink ref="A82" r:id="rId82" xr:uid="{00000000-0004-0000-0100-000051000000}"/>
    <hyperlink ref="A83" r:id="rId83" xr:uid="{00000000-0004-0000-0100-000052000000}"/>
    <hyperlink ref="A84" r:id="rId84" xr:uid="{00000000-0004-0000-0100-000053000000}"/>
    <hyperlink ref="A85" r:id="rId85" xr:uid="{00000000-0004-0000-0100-000054000000}"/>
    <hyperlink ref="A86" r:id="rId86" xr:uid="{00000000-0004-0000-0100-000055000000}"/>
    <hyperlink ref="A87" r:id="rId87" xr:uid="{00000000-0004-0000-0100-000056000000}"/>
    <hyperlink ref="A88" r:id="rId88" xr:uid="{00000000-0004-0000-0100-000057000000}"/>
    <hyperlink ref="A89" r:id="rId89" xr:uid="{00000000-0004-0000-0100-000058000000}"/>
    <hyperlink ref="A90" r:id="rId90" xr:uid="{00000000-0004-0000-0100-000059000000}"/>
    <hyperlink ref="A91" r:id="rId91" xr:uid="{00000000-0004-0000-0100-00005A000000}"/>
    <hyperlink ref="A92" r:id="rId92" xr:uid="{00000000-0004-0000-0100-00005B000000}"/>
    <hyperlink ref="A93" r:id="rId93" xr:uid="{00000000-0004-0000-0100-00005C000000}"/>
    <hyperlink ref="A94" r:id="rId94" xr:uid="{00000000-0004-0000-0100-00005D000000}"/>
    <hyperlink ref="A95" r:id="rId95" xr:uid="{00000000-0004-0000-0100-00005E000000}"/>
    <hyperlink ref="A96" r:id="rId96" xr:uid="{00000000-0004-0000-0100-00005F000000}"/>
    <hyperlink ref="A97" r:id="rId97" xr:uid="{00000000-0004-0000-0100-000060000000}"/>
    <hyperlink ref="A98" r:id="rId98" xr:uid="{00000000-0004-0000-0100-000061000000}"/>
    <hyperlink ref="A99" r:id="rId99" xr:uid="{00000000-0004-0000-0100-000062000000}"/>
    <hyperlink ref="A100" r:id="rId100" xr:uid="{00000000-0004-0000-0100-000063000000}"/>
    <hyperlink ref="A101" r:id="rId101" xr:uid="{00000000-0004-0000-0100-000064000000}"/>
    <hyperlink ref="A102" r:id="rId102" xr:uid="{00000000-0004-0000-0100-000065000000}"/>
    <hyperlink ref="A103" r:id="rId103" xr:uid="{00000000-0004-0000-0100-000066000000}"/>
    <hyperlink ref="A104" r:id="rId104" xr:uid="{00000000-0004-0000-0100-000067000000}"/>
    <hyperlink ref="A105" r:id="rId105" xr:uid="{00000000-0004-0000-0100-000068000000}"/>
    <hyperlink ref="A106" r:id="rId106" xr:uid="{00000000-0004-0000-0100-000069000000}"/>
    <hyperlink ref="A107" r:id="rId107" xr:uid="{00000000-0004-0000-0100-00006A000000}"/>
    <hyperlink ref="A108" r:id="rId108" xr:uid="{00000000-0004-0000-0100-00006B000000}"/>
    <hyperlink ref="A109" r:id="rId109" xr:uid="{00000000-0004-0000-0100-00006C000000}"/>
    <hyperlink ref="A110" r:id="rId110" xr:uid="{00000000-0004-0000-0100-00006D000000}"/>
    <hyperlink ref="A111" r:id="rId111" xr:uid="{00000000-0004-0000-0100-00006E000000}"/>
    <hyperlink ref="A112" r:id="rId112" xr:uid="{00000000-0004-0000-0100-00006F000000}"/>
    <hyperlink ref="A113" r:id="rId113" xr:uid="{00000000-0004-0000-0100-000070000000}"/>
    <hyperlink ref="A114" r:id="rId114" xr:uid="{00000000-0004-0000-0100-000071000000}"/>
    <hyperlink ref="A115" r:id="rId115" xr:uid="{00000000-0004-0000-0100-000072000000}"/>
    <hyperlink ref="A116" r:id="rId116" xr:uid="{00000000-0004-0000-0100-000073000000}"/>
    <hyperlink ref="A117" r:id="rId117" xr:uid="{00000000-0004-0000-0100-000074000000}"/>
    <hyperlink ref="A118" r:id="rId118" xr:uid="{00000000-0004-0000-0100-000075000000}"/>
    <hyperlink ref="A119" r:id="rId119" xr:uid="{00000000-0004-0000-0100-000076000000}"/>
    <hyperlink ref="A120" r:id="rId120" xr:uid="{00000000-0004-0000-0100-000077000000}"/>
    <hyperlink ref="A121" r:id="rId121" xr:uid="{00000000-0004-0000-0100-000078000000}"/>
    <hyperlink ref="A122" r:id="rId122" xr:uid="{00000000-0004-0000-0100-000079000000}"/>
    <hyperlink ref="A123" r:id="rId123" xr:uid="{00000000-0004-0000-0100-00007A000000}"/>
    <hyperlink ref="A124" r:id="rId124" xr:uid="{00000000-0004-0000-0100-00007B000000}"/>
    <hyperlink ref="A125" r:id="rId125" xr:uid="{00000000-0004-0000-0100-00007C000000}"/>
    <hyperlink ref="A126" r:id="rId126" xr:uid="{00000000-0004-0000-0100-00007D000000}"/>
    <hyperlink ref="A127" r:id="rId127" xr:uid="{00000000-0004-0000-0100-00007E000000}"/>
    <hyperlink ref="A128" r:id="rId128" xr:uid="{00000000-0004-0000-0100-00007F000000}"/>
    <hyperlink ref="A129" r:id="rId129" xr:uid="{00000000-0004-0000-0100-000080000000}"/>
    <hyperlink ref="A130" r:id="rId130" xr:uid="{00000000-0004-0000-0100-000081000000}"/>
    <hyperlink ref="A131" r:id="rId131" xr:uid="{00000000-0004-0000-0100-000082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tabSelected="1" workbookViewId="0"/>
  </sheetViews>
  <sheetFormatPr defaultColWidth="12.5703125" defaultRowHeight="15.75" customHeight="1"/>
  <sheetData>
    <row r="1" spans="1:26">
      <c r="A1" s="1" t="s">
        <v>56</v>
      </c>
      <c r="B1" s="1">
        <v>1.5</v>
      </c>
      <c r="C1" s="1" t="s">
        <v>57</v>
      </c>
      <c r="D1" s="1">
        <v>15</v>
      </c>
      <c r="E1" s="1" t="s">
        <v>58</v>
      </c>
      <c r="F1" s="3">
        <v>0.8</v>
      </c>
      <c r="G1" s="1" t="s">
        <v>59</v>
      </c>
      <c r="H1" s="3">
        <v>1.1499999999999999</v>
      </c>
      <c r="I1" s="1" t="s">
        <v>60</v>
      </c>
      <c r="J1" s="1">
        <v>180</v>
      </c>
      <c r="K1" s="1" t="s">
        <v>61</v>
      </c>
      <c r="L1" s="1">
        <v>1300</v>
      </c>
      <c r="M1" s="1"/>
      <c r="N1" s="1"/>
      <c r="O1" s="1"/>
      <c r="P1" s="1" t="s">
        <v>62</v>
      </c>
      <c r="Q1" s="1"/>
      <c r="R1" s="1" t="s">
        <v>63</v>
      </c>
      <c r="S1" s="1"/>
      <c r="T1" s="5" t="s">
        <v>48</v>
      </c>
      <c r="U1" s="1"/>
      <c r="V1" s="1"/>
      <c r="W1" s="1"/>
      <c r="X1" s="1"/>
      <c r="Y1" s="1"/>
      <c r="Z1" s="1"/>
    </row>
    <row r="2" spans="1:26">
      <c r="A2" s="1" t="s">
        <v>64</v>
      </c>
      <c r="B2" s="1">
        <v>20</v>
      </c>
      <c r="C2" s="1" t="s">
        <v>65</v>
      </c>
      <c r="D2" s="1">
        <v>388.6</v>
      </c>
      <c r="E2" s="1" t="s">
        <v>66</v>
      </c>
      <c r="F2" s="1">
        <v>130</v>
      </c>
      <c r="G2" s="1" t="s">
        <v>67</v>
      </c>
      <c r="H2" s="1">
        <v>22</v>
      </c>
      <c r="I2" s="1" t="s">
        <v>68</v>
      </c>
      <c r="J2" s="1">
        <v>4</v>
      </c>
      <c r="K2" s="1" t="s">
        <v>69</v>
      </c>
      <c r="L2" s="1">
        <v>8.5</v>
      </c>
      <c r="M2" s="1"/>
      <c r="N2" s="1"/>
      <c r="O2" s="1"/>
      <c r="P2" s="1" t="s">
        <v>70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8.75" customHeight="1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1.5</v>
      </c>
      <c r="B6" s="1">
        <v>375</v>
      </c>
      <c r="C6" s="1">
        <v>563</v>
      </c>
      <c r="D6" s="1">
        <v>278</v>
      </c>
      <c r="E6" s="1">
        <v>464</v>
      </c>
      <c r="F6" s="1">
        <v>594</v>
      </c>
      <c r="G6" s="1">
        <v>320</v>
      </c>
      <c r="H6" s="1">
        <v>389</v>
      </c>
      <c r="I6" s="1">
        <v>130</v>
      </c>
      <c r="J6" s="1">
        <v>67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>
        <v>1.6</v>
      </c>
      <c r="B7" s="1">
        <v>400</v>
      </c>
      <c r="C7" s="1">
        <v>600</v>
      </c>
      <c r="D7" s="1">
        <v>301</v>
      </c>
      <c r="E7" s="1">
        <v>506</v>
      </c>
      <c r="F7" s="1">
        <v>641</v>
      </c>
      <c r="G7" s="1">
        <v>320</v>
      </c>
      <c r="H7" s="1">
        <v>389</v>
      </c>
      <c r="I7" s="1">
        <v>130</v>
      </c>
      <c r="J7" s="1">
        <v>120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>
        <v>1.7</v>
      </c>
      <c r="B8" s="1">
        <v>425</v>
      </c>
      <c r="C8" s="1">
        <v>638</v>
      </c>
      <c r="D8" s="1">
        <v>324</v>
      </c>
      <c r="E8" s="1">
        <v>548</v>
      </c>
      <c r="F8" s="1">
        <v>687</v>
      </c>
      <c r="G8" s="1">
        <v>320</v>
      </c>
      <c r="H8" s="1">
        <v>389</v>
      </c>
      <c r="I8" s="1">
        <v>130</v>
      </c>
      <c r="J8" s="1">
        <v>174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>
        <v>1.8</v>
      </c>
      <c r="B9" s="1">
        <v>450</v>
      </c>
      <c r="C9" s="1">
        <v>675</v>
      </c>
      <c r="D9" s="1">
        <v>348</v>
      </c>
      <c r="E9" s="1">
        <v>590</v>
      </c>
      <c r="F9" s="1">
        <v>734</v>
      </c>
      <c r="G9" s="1">
        <v>320</v>
      </c>
      <c r="H9" s="1">
        <v>389</v>
      </c>
      <c r="I9" s="1">
        <v>130</v>
      </c>
      <c r="J9" s="1">
        <v>227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1.9</v>
      </c>
      <c r="B10" s="1">
        <v>475</v>
      </c>
      <c r="C10" s="1">
        <v>713</v>
      </c>
      <c r="D10" s="1">
        <v>371</v>
      </c>
      <c r="E10" s="1">
        <v>632</v>
      </c>
      <c r="F10" s="1">
        <v>780</v>
      </c>
      <c r="G10" s="1">
        <v>320</v>
      </c>
      <c r="H10" s="1">
        <v>389</v>
      </c>
      <c r="I10" s="1">
        <v>130</v>
      </c>
      <c r="J10" s="1">
        <v>281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>
        <v>2</v>
      </c>
      <c r="B11" s="1">
        <v>500</v>
      </c>
      <c r="C11" s="1">
        <v>750</v>
      </c>
      <c r="D11" s="1">
        <v>394</v>
      </c>
      <c r="E11" s="1">
        <v>673</v>
      </c>
      <c r="F11" s="1">
        <v>827</v>
      </c>
      <c r="G11" s="1">
        <v>320</v>
      </c>
      <c r="H11" s="1">
        <v>389</v>
      </c>
      <c r="I11" s="1">
        <v>130</v>
      </c>
      <c r="J11" s="1">
        <v>334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>
        <v>2.1</v>
      </c>
      <c r="B12" s="1">
        <v>525</v>
      </c>
      <c r="C12" s="1">
        <v>788</v>
      </c>
      <c r="D12" s="1">
        <v>422</v>
      </c>
      <c r="E12" s="1">
        <v>714</v>
      </c>
      <c r="F12" s="1">
        <v>883</v>
      </c>
      <c r="G12" s="1">
        <v>320</v>
      </c>
      <c r="H12" s="1">
        <v>389</v>
      </c>
      <c r="I12" s="1">
        <v>130</v>
      </c>
      <c r="J12" s="1">
        <v>378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2.2000000000000002</v>
      </c>
      <c r="B13" s="1">
        <v>550</v>
      </c>
      <c r="C13" s="1">
        <v>825</v>
      </c>
      <c r="D13" s="1">
        <v>450</v>
      </c>
      <c r="E13" s="1">
        <v>755</v>
      </c>
      <c r="F13" s="1">
        <v>938</v>
      </c>
      <c r="G13" s="1">
        <v>320</v>
      </c>
      <c r="H13" s="1">
        <v>389</v>
      </c>
      <c r="I13" s="1">
        <v>130</v>
      </c>
      <c r="J13" s="1">
        <v>423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2.2999999999999998</v>
      </c>
      <c r="B14" s="1">
        <v>575</v>
      </c>
      <c r="C14" s="1">
        <v>863</v>
      </c>
      <c r="D14" s="1">
        <v>478</v>
      </c>
      <c r="E14" s="1">
        <v>796</v>
      </c>
      <c r="F14" s="1">
        <v>994</v>
      </c>
      <c r="G14" s="1">
        <v>320</v>
      </c>
      <c r="H14" s="1">
        <v>389</v>
      </c>
      <c r="I14" s="1">
        <v>130</v>
      </c>
      <c r="J14" s="1">
        <v>467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>
        <v>2.4</v>
      </c>
      <c r="B15" s="1">
        <v>600</v>
      </c>
      <c r="C15" s="1">
        <v>900</v>
      </c>
      <c r="D15" s="1">
        <v>506</v>
      </c>
      <c r="E15" s="1">
        <v>836</v>
      </c>
      <c r="F15" s="7">
        <v>1050</v>
      </c>
      <c r="G15" s="1">
        <v>320</v>
      </c>
      <c r="H15" s="1">
        <v>389</v>
      </c>
      <c r="I15" s="1">
        <v>130</v>
      </c>
      <c r="J15" s="1">
        <v>511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2.5</v>
      </c>
      <c r="B16" s="1">
        <v>625</v>
      </c>
      <c r="C16" s="1">
        <v>938</v>
      </c>
      <c r="D16" s="1">
        <v>534</v>
      </c>
      <c r="E16" s="1">
        <v>877</v>
      </c>
      <c r="F16" s="7">
        <v>1106</v>
      </c>
      <c r="G16" s="1">
        <v>320</v>
      </c>
      <c r="H16" s="1">
        <v>389</v>
      </c>
      <c r="I16" s="1">
        <v>130</v>
      </c>
      <c r="J16" s="1">
        <v>555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2.6</v>
      </c>
      <c r="B17" s="1">
        <v>650</v>
      </c>
      <c r="C17" s="1">
        <v>975</v>
      </c>
      <c r="D17" s="1">
        <v>562</v>
      </c>
      <c r="E17" s="1">
        <v>918</v>
      </c>
      <c r="F17" s="7">
        <v>1162</v>
      </c>
      <c r="G17" s="1">
        <v>320</v>
      </c>
      <c r="H17" s="1">
        <v>389</v>
      </c>
      <c r="I17" s="1">
        <v>130</v>
      </c>
      <c r="J17" s="1">
        <v>599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2.7</v>
      </c>
      <c r="B18" s="1">
        <v>675</v>
      </c>
      <c r="C18" s="1">
        <v>1013</v>
      </c>
      <c r="D18" s="1">
        <v>590</v>
      </c>
      <c r="E18" s="1">
        <v>959</v>
      </c>
      <c r="F18" s="7">
        <v>1217</v>
      </c>
      <c r="G18" s="1">
        <v>320</v>
      </c>
      <c r="H18" s="1">
        <v>389</v>
      </c>
      <c r="I18" s="1">
        <v>130</v>
      </c>
      <c r="J18" s="1">
        <v>644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>
        <v>2.8</v>
      </c>
      <c r="B19" s="1">
        <v>700</v>
      </c>
      <c r="C19" s="1">
        <v>1050</v>
      </c>
      <c r="D19" s="1">
        <v>618</v>
      </c>
      <c r="E19" s="7">
        <v>1000</v>
      </c>
      <c r="F19" s="7">
        <v>1273</v>
      </c>
      <c r="G19" s="1">
        <v>320</v>
      </c>
      <c r="H19" s="1">
        <v>389</v>
      </c>
      <c r="I19" s="1">
        <v>130</v>
      </c>
      <c r="J19" s="1">
        <v>688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>
        <v>2.9</v>
      </c>
      <c r="B20" s="1">
        <v>725</v>
      </c>
      <c r="C20" s="1">
        <v>1088</v>
      </c>
      <c r="D20" s="1">
        <v>646</v>
      </c>
      <c r="E20" s="7">
        <v>1060</v>
      </c>
      <c r="F20" s="7">
        <v>1329</v>
      </c>
      <c r="G20" s="1">
        <v>320</v>
      </c>
      <c r="H20" s="1">
        <v>389</v>
      </c>
      <c r="I20" s="1">
        <v>130</v>
      </c>
      <c r="J20" s="1">
        <v>732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>
        <v>3</v>
      </c>
      <c r="B21" s="1">
        <v>750</v>
      </c>
      <c r="C21" s="1">
        <v>1125</v>
      </c>
      <c r="D21" s="1">
        <v>673</v>
      </c>
      <c r="E21" s="7">
        <v>1120</v>
      </c>
      <c r="F21" s="7">
        <v>1384</v>
      </c>
      <c r="G21" s="1">
        <v>320</v>
      </c>
      <c r="H21" s="1">
        <v>389</v>
      </c>
      <c r="I21" s="1">
        <v>130</v>
      </c>
      <c r="J21" s="1">
        <v>777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>
        <v>3.1</v>
      </c>
      <c r="B22" s="1">
        <v>775</v>
      </c>
      <c r="C22" s="1">
        <v>1163</v>
      </c>
      <c r="D22" s="1">
        <v>700</v>
      </c>
      <c r="E22" s="7">
        <v>1180</v>
      </c>
      <c r="F22" s="7">
        <v>1438</v>
      </c>
      <c r="G22" s="1">
        <v>320</v>
      </c>
      <c r="H22" s="1">
        <v>389</v>
      </c>
      <c r="I22" s="1">
        <v>130</v>
      </c>
      <c r="J22" s="1">
        <v>823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>
        <v>3.2</v>
      </c>
      <c r="B23" s="1">
        <v>800</v>
      </c>
      <c r="C23" s="1">
        <v>1200</v>
      </c>
      <c r="D23" s="1">
        <v>727</v>
      </c>
      <c r="E23" s="7">
        <v>1240</v>
      </c>
      <c r="F23" s="7">
        <v>1492</v>
      </c>
      <c r="G23" s="1">
        <v>320</v>
      </c>
      <c r="H23" s="1">
        <v>389</v>
      </c>
      <c r="I23" s="1">
        <v>130</v>
      </c>
      <c r="J23" s="1">
        <v>869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>
        <v>3.3</v>
      </c>
      <c r="B24" s="1">
        <v>825</v>
      </c>
      <c r="C24" s="1">
        <v>1238</v>
      </c>
      <c r="D24" s="1">
        <v>755</v>
      </c>
      <c r="E24" s="7">
        <v>1300</v>
      </c>
      <c r="F24" s="7">
        <v>1547</v>
      </c>
      <c r="G24" s="1">
        <v>320</v>
      </c>
      <c r="H24" s="1">
        <v>389</v>
      </c>
      <c r="I24" s="1">
        <v>130</v>
      </c>
      <c r="J24" s="1">
        <v>914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>
        <v>3.4</v>
      </c>
      <c r="B25" s="1">
        <v>850</v>
      </c>
      <c r="C25" s="1">
        <v>1275</v>
      </c>
      <c r="D25" s="1">
        <v>782</v>
      </c>
      <c r="E25" s="7">
        <v>1359</v>
      </c>
      <c r="F25" s="7">
        <v>1601</v>
      </c>
      <c r="G25" s="1">
        <v>320</v>
      </c>
      <c r="H25" s="1">
        <v>389</v>
      </c>
      <c r="I25" s="1">
        <v>130</v>
      </c>
      <c r="J25" s="1">
        <v>960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>
        <v>3.5</v>
      </c>
      <c r="B26" s="1">
        <v>875</v>
      </c>
      <c r="C26" s="1">
        <v>1313</v>
      </c>
      <c r="D26" s="1">
        <v>809</v>
      </c>
      <c r="E26" s="7">
        <v>1419</v>
      </c>
      <c r="F26" s="7">
        <v>1656</v>
      </c>
      <c r="G26" s="1">
        <v>320</v>
      </c>
      <c r="H26" s="1">
        <v>389</v>
      </c>
      <c r="I26" s="1">
        <v>130</v>
      </c>
      <c r="J26" s="7">
        <v>1005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2">
        <v>3.6</v>
      </c>
      <c r="B27" s="12">
        <v>900</v>
      </c>
      <c r="C27" s="12">
        <v>1350</v>
      </c>
      <c r="D27" s="12">
        <v>836</v>
      </c>
      <c r="E27" s="13">
        <v>1482</v>
      </c>
      <c r="F27" s="13">
        <v>1710</v>
      </c>
      <c r="G27" s="12">
        <v>320</v>
      </c>
      <c r="H27" s="12">
        <v>389</v>
      </c>
      <c r="I27" s="12">
        <v>130</v>
      </c>
      <c r="J27" s="13">
        <v>1051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>
        <v>3.7</v>
      </c>
      <c r="B28" s="1">
        <v>925</v>
      </c>
      <c r="C28" s="1">
        <v>1388</v>
      </c>
      <c r="D28" s="1">
        <v>864</v>
      </c>
      <c r="E28" s="7">
        <v>1546</v>
      </c>
      <c r="F28" s="7">
        <v>1764</v>
      </c>
      <c r="G28" s="1">
        <v>320</v>
      </c>
      <c r="H28" s="1">
        <v>389</v>
      </c>
      <c r="I28" s="1">
        <v>130</v>
      </c>
      <c r="J28" s="7">
        <v>1097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>
        <v>3.8</v>
      </c>
      <c r="B29" s="1">
        <v>950</v>
      </c>
      <c r="C29" s="1">
        <v>1425</v>
      </c>
      <c r="D29" s="1">
        <v>891</v>
      </c>
      <c r="E29" s="7">
        <v>1610</v>
      </c>
      <c r="F29" s="7">
        <v>1819</v>
      </c>
      <c r="G29" s="1">
        <v>320</v>
      </c>
      <c r="H29" s="1">
        <v>389</v>
      </c>
      <c r="I29" s="1">
        <v>130</v>
      </c>
      <c r="J29" s="7">
        <v>1142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>
        <v>3.9</v>
      </c>
      <c r="B30" s="1">
        <v>975</v>
      </c>
      <c r="C30" s="1">
        <v>1463</v>
      </c>
      <c r="D30" s="1">
        <v>918</v>
      </c>
      <c r="E30" s="7">
        <v>1674</v>
      </c>
      <c r="F30" s="7">
        <v>1873</v>
      </c>
      <c r="G30" s="1">
        <v>320</v>
      </c>
      <c r="H30" s="1">
        <v>389</v>
      </c>
      <c r="I30" s="1">
        <v>130</v>
      </c>
      <c r="J30" s="7">
        <v>1188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>
        <v>4</v>
      </c>
      <c r="B31" s="1">
        <v>1000</v>
      </c>
      <c r="C31" s="1">
        <v>1500</v>
      </c>
      <c r="D31" s="1">
        <v>945</v>
      </c>
      <c r="E31" s="7">
        <v>1738</v>
      </c>
      <c r="F31" s="7">
        <v>1928</v>
      </c>
      <c r="G31" s="1">
        <v>320</v>
      </c>
      <c r="H31" s="1">
        <v>389</v>
      </c>
      <c r="I31" s="1">
        <v>130</v>
      </c>
      <c r="J31" s="7">
        <v>1233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>
        <v>4.0999999999999996</v>
      </c>
      <c r="B32" s="1">
        <v>1025</v>
      </c>
      <c r="C32" s="1">
        <v>1538</v>
      </c>
      <c r="D32" s="1">
        <v>973</v>
      </c>
      <c r="E32" s="7">
        <v>1802</v>
      </c>
      <c r="F32" s="7">
        <v>1982</v>
      </c>
      <c r="G32" s="1">
        <v>320</v>
      </c>
      <c r="H32" s="1">
        <v>389</v>
      </c>
      <c r="I32" s="1">
        <v>130</v>
      </c>
      <c r="J32" s="7">
        <v>1279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>
        <v>4.2</v>
      </c>
      <c r="B33" s="1">
        <v>1050</v>
      </c>
      <c r="C33" s="1">
        <v>1575</v>
      </c>
      <c r="D33" s="7">
        <v>1000</v>
      </c>
      <c r="E33" s="7">
        <v>1866</v>
      </c>
      <c r="F33" s="7">
        <v>2036</v>
      </c>
      <c r="G33" s="1">
        <v>320</v>
      </c>
      <c r="H33" s="1">
        <v>389</v>
      </c>
      <c r="I33" s="1">
        <v>130</v>
      </c>
      <c r="J33" s="7">
        <v>1325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>
        <v>4.3</v>
      </c>
      <c r="B34" s="1">
        <v>1075</v>
      </c>
      <c r="C34" s="1">
        <v>1613</v>
      </c>
      <c r="D34" s="7">
        <v>1040</v>
      </c>
      <c r="E34" s="7">
        <v>1930</v>
      </c>
      <c r="F34" s="7">
        <v>2116</v>
      </c>
      <c r="G34" s="1">
        <v>320</v>
      </c>
      <c r="H34" s="1">
        <v>389</v>
      </c>
      <c r="I34" s="1">
        <v>130</v>
      </c>
      <c r="J34" s="7">
        <v>1345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>
        <v>4.4000000000000004</v>
      </c>
      <c r="B35" s="1">
        <v>1100</v>
      </c>
      <c r="C35" s="1">
        <v>1650</v>
      </c>
      <c r="D35" s="7">
        <v>1080</v>
      </c>
      <c r="E35" s="7">
        <v>1998</v>
      </c>
      <c r="F35" s="7">
        <v>2196</v>
      </c>
      <c r="G35" s="1">
        <v>320</v>
      </c>
      <c r="H35" s="1">
        <v>389</v>
      </c>
      <c r="I35" s="1">
        <v>130</v>
      </c>
      <c r="J35" s="7">
        <v>1365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>
        <v>4.5</v>
      </c>
      <c r="B36" s="1">
        <v>1125</v>
      </c>
      <c r="C36" s="1">
        <v>1688</v>
      </c>
      <c r="D36" s="7">
        <v>1120</v>
      </c>
      <c r="E36" s="7">
        <v>2065</v>
      </c>
      <c r="F36" s="7">
        <v>2276</v>
      </c>
      <c r="G36" s="1">
        <v>320</v>
      </c>
      <c r="H36" s="1">
        <v>389</v>
      </c>
      <c r="I36" s="1">
        <v>130</v>
      </c>
      <c r="J36" s="7">
        <v>1385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>
        <v>4.5999999999999996</v>
      </c>
      <c r="B37" s="1">
        <v>1150</v>
      </c>
      <c r="C37" s="1">
        <v>1725</v>
      </c>
      <c r="D37" s="7">
        <v>1160</v>
      </c>
      <c r="E37" s="7">
        <v>2133</v>
      </c>
      <c r="F37" s="7">
        <v>2355</v>
      </c>
      <c r="G37" s="1">
        <v>320</v>
      </c>
      <c r="H37" s="1">
        <v>389</v>
      </c>
      <c r="I37" s="1">
        <v>130</v>
      </c>
      <c r="J37" s="7">
        <v>1406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>
        <v>4.7</v>
      </c>
      <c r="B38" s="1">
        <v>1175</v>
      </c>
      <c r="C38" s="1">
        <v>1763</v>
      </c>
      <c r="D38" s="7">
        <v>1200</v>
      </c>
      <c r="E38" s="7">
        <v>2201</v>
      </c>
      <c r="F38" s="7">
        <v>2435</v>
      </c>
      <c r="G38" s="1">
        <v>320</v>
      </c>
      <c r="H38" s="1">
        <v>389</v>
      </c>
      <c r="I38" s="1">
        <v>130</v>
      </c>
      <c r="J38" s="7">
        <v>1426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>
        <v>4.8</v>
      </c>
      <c r="B39" s="1">
        <v>1200</v>
      </c>
      <c r="C39" s="1">
        <v>1800</v>
      </c>
      <c r="D39" s="7">
        <v>1240</v>
      </c>
      <c r="E39" s="7">
        <v>2269</v>
      </c>
      <c r="F39" s="7">
        <v>2515</v>
      </c>
      <c r="G39" s="1">
        <v>320</v>
      </c>
      <c r="H39" s="1">
        <v>389</v>
      </c>
      <c r="I39" s="1">
        <v>130</v>
      </c>
      <c r="J39" s="7">
        <v>1446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>
        <v>4.9000000000000004</v>
      </c>
      <c r="B40" s="1">
        <v>1225</v>
      </c>
      <c r="C40" s="1">
        <v>1838</v>
      </c>
      <c r="D40" s="7">
        <v>1280</v>
      </c>
      <c r="E40" s="7">
        <v>2337</v>
      </c>
      <c r="F40" s="7">
        <v>2595</v>
      </c>
      <c r="G40" s="1">
        <v>320</v>
      </c>
      <c r="H40" s="1">
        <v>389</v>
      </c>
      <c r="I40" s="1">
        <v>130</v>
      </c>
      <c r="J40" s="7">
        <v>1466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>
        <v>5</v>
      </c>
      <c r="B41" s="1">
        <v>1250</v>
      </c>
      <c r="C41" s="1">
        <v>1875</v>
      </c>
      <c r="D41" s="7">
        <v>1320</v>
      </c>
      <c r="E41" s="7">
        <v>2405</v>
      </c>
      <c r="F41" s="7">
        <v>2674</v>
      </c>
      <c r="G41" s="1">
        <v>320</v>
      </c>
      <c r="H41" s="1">
        <v>389</v>
      </c>
      <c r="I41" s="1">
        <v>130</v>
      </c>
      <c r="J41" s="7">
        <v>1487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>
        <v>5.0999999999999996</v>
      </c>
      <c r="B42" s="1">
        <v>1275</v>
      </c>
      <c r="C42" s="1">
        <v>1913</v>
      </c>
      <c r="D42" s="7">
        <v>1359</v>
      </c>
      <c r="E42" s="7">
        <v>2472</v>
      </c>
      <c r="F42" s="7">
        <v>2754</v>
      </c>
      <c r="G42" s="1">
        <v>320</v>
      </c>
      <c r="H42" s="1">
        <v>389</v>
      </c>
      <c r="I42" s="1">
        <v>130</v>
      </c>
      <c r="J42" s="7">
        <v>1507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>
        <v>5.2</v>
      </c>
      <c r="B43" s="1">
        <v>1300</v>
      </c>
      <c r="C43" s="1">
        <v>1950</v>
      </c>
      <c r="D43" s="7">
        <v>1399</v>
      </c>
      <c r="E43" s="7">
        <v>2540</v>
      </c>
      <c r="F43" s="7">
        <v>2834</v>
      </c>
      <c r="G43" s="1">
        <v>320</v>
      </c>
      <c r="H43" s="1">
        <v>389</v>
      </c>
      <c r="I43" s="1">
        <v>130</v>
      </c>
      <c r="J43" s="7">
        <v>1527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>
        <v>5.3</v>
      </c>
      <c r="B44" s="1">
        <v>1325</v>
      </c>
      <c r="C44" s="1">
        <v>1988</v>
      </c>
      <c r="D44" s="7">
        <v>1440</v>
      </c>
      <c r="E44" s="7">
        <v>2620</v>
      </c>
      <c r="F44" s="7">
        <v>2915</v>
      </c>
      <c r="G44" s="1">
        <v>320</v>
      </c>
      <c r="H44" s="1">
        <v>389</v>
      </c>
      <c r="I44" s="1">
        <v>130</v>
      </c>
      <c r="J44" s="7">
        <v>1546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>
        <v>5.4</v>
      </c>
      <c r="B45" s="1">
        <v>1350</v>
      </c>
      <c r="C45" s="1">
        <v>2025</v>
      </c>
      <c r="D45" s="7">
        <v>1482</v>
      </c>
      <c r="E45" s="7">
        <v>2700</v>
      </c>
      <c r="F45" s="7">
        <v>3000</v>
      </c>
      <c r="G45" s="1">
        <v>320</v>
      </c>
      <c r="H45" s="1">
        <v>389</v>
      </c>
      <c r="I45" s="1">
        <v>130</v>
      </c>
      <c r="J45" s="7">
        <v>1561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>
        <v>5.5</v>
      </c>
      <c r="B46" s="1">
        <v>1375</v>
      </c>
      <c r="C46" s="1">
        <v>2063</v>
      </c>
      <c r="D46" s="7">
        <v>1525</v>
      </c>
      <c r="E46" s="7">
        <v>2780</v>
      </c>
      <c r="F46" s="7">
        <v>3085</v>
      </c>
      <c r="G46" s="1">
        <v>320</v>
      </c>
      <c r="H46" s="1">
        <v>389</v>
      </c>
      <c r="I46" s="1">
        <v>130</v>
      </c>
      <c r="J46" s="7">
        <v>1576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>
        <v>5.6</v>
      </c>
      <c r="B47" s="1">
        <v>1400</v>
      </c>
      <c r="C47" s="1">
        <v>2100</v>
      </c>
      <c r="D47" s="7">
        <v>1568</v>
      </c>
      <c r="E47" s="7">
        <v>2860</v>
      </c>
      <c r="F47" s="7">
        <v>3170</v>
      </c>
      <c r="G47" s="1">
        <v>320</v>
      </c>
      <c r="H47" s="1">
        <v>389</v>
      </c>
      <c r="I47" s="1">
        <v>130</v>
      </c>
      <c r="J47" s="7">
        <v>1591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hyperlinks>
    <hyperlink ref="T1" r:id="rId1" xr:uid="{00000000-0004-0000-0200-000000000000}"/>
  </hyperlinks>
  <pageMargins left="0" right="0" top="0" bottom="0" header="0" footer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C02DE63E4A349B4785C883F92D491" ma:contentTypeVersion="6" ma:contentTypeDescription="Create a new document." ma:contentTypeScope="" ma:versionID="82ceeb9e8a3211b37c78c40c3c9a9795">
  <xsd:schema xmlns:xsd="http://www.w3.org/2001/XMLSchema" xmlns:xs="http://www.w3.org/2001/XMLSchema" xmlns:p="http://schemas.microsoft.com/office/2006/metadata/properties" xmlns:ns2="4a412c7a-c26a-409d-99e4-2944d8acb053" targetNamespace="http://schemas.microsoft.com/office/2006/metadata/properties" ma:root="true" ma:fieldsID="7c1cf1c5a64810cce054fe38316e3a93" ns2:_="">
    <xsd:import namespace="4a412c7a-c26a-409d-99e4-2944d8acb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12c7a-c26a-409d-99e4-2944d8acb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AFB496-87AA-4471-A4A2-C3720C2AFFCB}"/>
</file>

<file path=customXml/itemProps2.xml><?xml version="1.0" encoding="utf-8"?>
<ds:datastoreItem xmlns:ds="http://schemas.openxmlformats.org/officeDocument/2006/customXml" ds:itemID="{F3F54618-068F-48C7-9951-942A163BBF8B}"/>
</file>

<file path=customXml/itemProps3.xml><?xml version="1.0" encoding="utf-8"?>
<ds:datastoreItem xmlns:ds="http://schemas.openxmlformats.org/officeDocument/2006/customXml" ds:itemID="{34E9D193-35A7-443E-B8B2-347AD5A9D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2026-10-15T18:06:28Z</dcterms:created>
  <dcterms:modified xsi:type="dcterms:W3CDTF">2026-10-22T23:54:14Z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0x010100962C02DE63E4A349B4785C883F92D491</vt:lpwstr>
  </property>
</Properties>
</file>